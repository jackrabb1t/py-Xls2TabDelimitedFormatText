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30" windowWidth="14250" windowHeight="7800" firstSheet="2" activeTab="8"/>
  </bookViews>
  <sheets>
    <sheet name="Sheet1" sheetId="2" r:id="rId1"/>
    <sheet name="Sheet6" sheetId="7" r:id="rId2"/>
    <sheet name="Sheet7" sheetId="8" r:id="rId3"/>
    <sheet name="Sheet2" sheetId="3" r:id="rId4"/>
    <sheet name="Sheet8" sheetId="9" r:id="rId5"/>
    <sheet name="Sheet3" sheetId="4" r:id="rId6"/>
    <sheet name="Sheet5" sheetId="6" r:id="rId7"/>
    <sheet name="Sheet4" sheetId="5" r:id="rId8"/>
    <sheet name="Sheet9" sheetId="10" r:id="rId9"/>
    <sheet name="Longley" sheetId="1" r:id="rId10"/>
  </sheets>
  <functionGroups/>
  <externalReferences>
    <externalReference r:id="rId11"/>
    <externalReference r:id="rId12"/>
  </externalReferences>
  <calcPr calcId="124519"/>
</workbook>
</file>

<file path=xl/calcChain.xml><?xml version="1.0" encoding="utf-8"?>
<calcChain xmlns="http://schemas.openxmlformats.org/spreadsheetml/2006/main">
  <c r="A89" i="10" a="1"/>
  <c r="F95"/>
  <c r="A89" i="1" a="1"/>
  <c r="A89"/>
  <c r="A20"/>
  <c r="H42"/>
  <c r="B20"/>
  <c r="H43"/>
  <c r="C20"/>
  <c r="H44"/>
  <c r="D20"/>
  <c r="H45"/>
  <c r="E20"/>
  <c r="H46"/>
  <c r="F20"/>
  <c r="H47"/>
  <c r="G20"/>
  <c r="H48"/>
  <c r="B24"/>
  <c r="F24"/>
  <c r="A25"/>
  <c r="C25"/>
  <c r="E25"/>
  <c r="G25"/>
  <c r="D26"/>
  <c r="A27"/>
  <c r="C27"/>
  <c r="E27"/>
  <c r="G27"/>
  <c r="B28"/>
  <c r="F28"/>
  <c r="A29"/>
  <c r="C29"/>
  <c r="E29"/>
  <c r="G29"/>
  <c r="D30"/>
  <c r="A31"/>
  <c r="C31"/>
  <c r="E31"/>
  <c r="G31"/>
  <c r="B32"/>
  <c r="F32"/>
  <c r="A33"/>
  <c r="C33"/>
  <c r="E33"/>
  <c r="G33"/>
  <c r="D34"/>
  <c r="A35"/>
  <c r="C35"/>
  <c r="E35"/>
  <c r="G35"/>
  <c r="B36"/>
  <c r="F36"/>
  <c r="A37"/>
  <c r="C37"/>
  <c r="E37"/>
  <c r="G37"/>
  <c r="D38"/>
  <c r="G23"/>
  <c r="E23"/>
  <c r="C23"/>
  <c r="A23"/>
  <c r="AI18" i="2"/>
  <c r="G40"/>
  <c r="G41"/>
  <c r="G42"/>
  <c r="G43"/>
  <c r="G44"/>
  <c r="G45"/>
  <c r="G46"/>
  <c r="G47"/>
  <c r="G48"/>
  <c r="G49"/>
  <c r="G50"/>
  <c r="G51"/>
  <c r="G52"/>
  <c r="G39"/>
  <c r="G53"/>
  <c r="G54"/>
  <c r="AI57"/>
  <c r="AH17"/>
  <c r="F40"/>
  <c r="M42"/>
  <c r="F41"/>
  <c r="F42"/>
  <c r="F43"/>
  <c r="F44"/>
  <c r="F45"/>
  <c r="F46"/>
  <c r="F47"/>
  <c r="F48"/>
  <c r="F49"/>
  <c r="F50"/>
  <c r="F51"/>
  <c r="F52"/>
  <c r="F39"/>
  <c r="F53"/>
  <c r="F54"/>
  <c r="AH56"/>
  <c r="AG16"/>
  <c r="E40"/>
  <c r="E41"/>
  <c r="E42"/>
  <c r="E43"/>
  <c r="E44"/>
  <c r="E45"/>
  <c r="E46"/>
  <c r="E47"/>
  <c r="E48"/>
  <c r="E49"/>
  <c r="E50"/>
  <c r="E51"/>
  <c r="E52"/>
  <c r="E39"/>
  <c r="AG55"/>
  <c r="E53"/>
  <c r="E54"/>
  <c r="AF15"/>
  <c r="D40"/>
  <c r="D41"/>
  <c r="D42"/>
  <c r="D43"/>
  <c r="D44"/>
  <c r="D45"/>
  <c r="D46"/>
  <c r="D47"/>
  <c r="D48"/>
  <c r="D49"/>
  <c r="D50"/>
  <c r="D51"/>
  <c r="D52"/>
  <c r="D39"/>
  <c r="AF54"/>
  <c r="D53"/>
  <c r="D54"/>
  <c r="AE14"/>
  <c r="C40"/>
  <c r="C41"/>
  <c r="C42"/>
  <c r="C43"/>
  <c r="C44"/>
  <c r="C45"/>
  <c r="C46"/>
  <c r="C47"/>
  <c r="C48"/>
  <c r="C49"/>
  <c r="C50"/>
  <c r="C51"/>
  <c r="C52"/>
  <c r="C39"/>
  <c r="C53"/>
  <c r="C54"/>
  <c r="AE53"/>
  <c r="AD13"/>
  <c r="B40"/>
  <c r="B41"/>
  <c r="B42"/>
  <c r="B43"/>
  <c r="B44"/>
  <c r="B45"/>
  <c r="B46"/>
  <c r="B47"/>
  <c r="B48"/>
  <c r="B49"/>
  <c r="B50"/>
  <c r="B51"/>
  <c r="B52"/>
  <c r="B39"/>
  <c r="B53"/>
  <c r="B54"/>
  <c r="AD52"/>
  <c r="AC12"/>
  <c r="A39"/>
  <c r="A40"/>
  <c r="AC51"/>
  <c r="A41"/>
  <c r="A42"/>
  <c r="A43"/>
  <c r="A44"/>
  <c r="A45"/>
  <c r="A46"/>
  <c r="A47"/>
  <c r="A48"/>
  <c r="A49"/>
  <c r="A50"/>
  <c r="A51"/>
  <c r="A52"/>
  <c r="A53"/>
  <c r="A54"/>
  <c r="AD3"/>
  <c r="AD31"/>
  <c r="AD46"/>
  <c r="AH7"/>
  <c r="AG6"/>
  <c r="AF5"/>
  <c r="AE4"/>
  <c r="AC2"/>
  <c r="AI36"/>
  <c r="AH36"/>
  <c r="AH35"/>
  <c r="AG36"/>
  <c r="AG35"/>
  <c r="AG34"/>
  <c r="AF36"/>
  <c r="AF35"/>
  <c r="AF34"/>
  <c r="AF33"/>
  <c r="AE36"/>
  <c r="AE35"/>
  <c r="AE34"/>
  <c r="AE33"/>
  <c r="AE32"/>
  <c r="AD32"/>
  <c r="AD36"/>
  <c r="AD35"/>
  <c r="AD34"/>
  <c r="AD33"/>
  <c r="AC31"/>
  <c r="AC36"/>
  <c r="AC35"/>
  <c r="AC34"/>
  <c r="AC33"/>
  <c r="AC32"/>
  <c r="AC30"/>
  <c r="AI8"/>
  <c r="N42"/>
  <c r="L42"/>
  <c r="J42"/>
  <c r="N41"/>
  <c r="L41"/>
  <c r="J41"/>
  <c r="N40"/>
  <c r="L40"/>
  <c r="J40"/>
  <c r="N39"/>
  <c r="L39"/>
  <c r="J39"/>
  <c r="N24"/>
  <c r="N23"/>
  <c r="N22"/>
  <c r="N21"/>
  <c r="N5"/>
  <c r="N4"/>
  <c r="N3"/>
  <c r="N2"/>
  <c r="M24"/>
  <c r="L24"/>
  <c r="K24"/>
  <c r="J24"/>
  <c r="I24"/>
  <c r="M23"/>
  <c r="L23"/>
  <c r="K23"/>
  <c r="J23"/>
  <c r="I23"/>
  <c r="M22"/>
  <c r="L22"/>
  <c r="K22"/>
  <c r="J22"/>
  <c r="I22"/>
  <c r="M21"/>
  <c r="L21"/>
  <c r="K21"/>
  <c r="J21"/>
  <c r="I21"/>
  <c r="M5"/>
  <c r="M4"/>
  <c r="M3"/>
  <c r="M2"/>
  <c r="L5"/>
  <c r="L4"/>
  <c r="L3"/>
  <c r="L2"/>
  <c r="K5"/>
  <c r="K4"/>
  <c r="K3"/>
  <c r="K2"/>
  <c r="J5"/>
  <c r="J4"/>
  <c r="J3"/>
  <c r="I5"/>
  <c r="I4"/>
  <c r="I3"/>
  <c r="J2"/>
  <c r="I2"/>
  <c r="AF27" i="3"/>
  <c r="AK33"/>
  <c r="AJ33"/>
  <c r="AJ32"/>
  <c r="AI32"/>
  <c r="AI33"/>
  <c r="AI31"/>
  <c r="AH31"/>
  <c r="AH32"/>
  <c r="AH33"/>
  <c r="AH30"/>
  <c r="AG30"/>
  <c r="AG31"/>
  <c r="AG32"/>
  <c r="AG33"/>
  <c r="AG29"/>
  <c r="AE29"/>
  <c r="AF29"/>
  <c r="AE30"/>
  <c r="AF30"/>
  <c r="AE31"/>
  <c r="AF31"/>
  <c r="AE32"/>
  <c r="AF32"/>
  <c r="AE33"/>
  <c r="AF33"/>
  <c r="AF28"/>
  <c r="AE28"/>
  <c r="AE27"/>
  <c r="AB33"/>
  <c r="Z33"/>
  <c r="AA33"/>
  <c r="AA32"/>
  <c r="Y32"/>
  <c r="Z32"/>
  <c r="Y33"/>
  <c r="Z31"/>
  <c r="X31"/>
  <c r="Y31"/>
  <c r="X32"/>
  <c r="X33"/>
  <c r="Y30"/>
  <c r="X30"/>
  <c r="X29"/>
  <c r="W29"/>
  <c r="W30"/>
  <c r="W31"/>
  <c r="W32"/>
  <c r="W33"/>
  <c r="W28"/>
  <c r="V32"/>
  <c r="V33"/>
  <c r="V28"/>
  <c r="V29"/>
  <c r="V30"/>
  <c r="V31"/>
  <c r="V27"/>
  <c r="S8"/>
  <c r="R8"/>
  <c r="R7"/>
  <c r="Q7"/>
  <c r="Q8"/>
  <c r="Q6"/>
  <c r="P6"/>
  <c r="P7"/>
  <c r="P8"/>
  <c r="P5"/>
  <c r="O5"/>
  <c r="O6"/>
  <c r="O7"/>
  <c r="O8"/>
  <c r="S33"/>
  <c r="R33"/>
  <c r="R32"/>
  <c r="Q32"/>
  <c r="Q33"/>
  <c r="Q31"/>
  <c r="P31"/>
  <c r="P32"/>
  <c r="P33"/>
  <c r="P30"/>
  <c r="M28"/>
  <c r="M29"/>
  <c r="M30"/>
  <c r="M31"/>
  <c r="M32"/>
  <c r="M33"/>
  <c r="M27"/>
  <c r="O30"/>
  <c r="O31"/>
  <c r="O32"/>
  <c r="O33"/>
  <c r="O29"/>
  <c r="N30"/>
  <c r="N31"/>
  <c r="N32"/>
  <c r="N33"/>
  <c r="N28"/>
  <c r="N29"/>
  <c r="I27"/>
  <c r="I2"/>
  <c r="I33"/>
  <c r="B66"/>
  <c r="C66"/>
  <c r="D66"/>
  <c r="E66"/>
  <c r="F66"/>
  <c r="G66"/>
  <c r="B67"/>
  <c r="C67"/>
  <c r="D67"/>
  <c r="E67"/>
  <c r="F67"/>
  <c r="G67"/>
  <c r="B68"/>
  <c r="C68"/>
  <c r="D68"/>
  <c r="E68"/>
  <c r="F68"/>
  <c r="G68"/>
  <c r="B69"/>
  <c r="C69"/>
  <c r="D69"/>
  <c r="E69"/>
  <c r="F69"/>
  <c r="G69"/>
  <c r="B70"/>
  <c r="C70"/>
  <c r="D70"/>
  <c r="E70"/>
  <c r="F70"/>
  <c r="G70"/>
  <c r="B71"/>
  <c r="C71"/>
  <c r="D71"/>
  <c r="E71"/>
  <c r="F71"/>
  <c r="G71"/>
  <c r="B72"/>
  <c r="C72"/>
  <c r="D72"/>
  <c r="E72"/>
  <c r="F72"/>
  <c r="G72"/>
  <c r="B73"/>
  <c r="C73"/>
  <c r="D73"/>
  <c r="E73"/>
  <c r="F73"/>
  <c r="G73"/>
  <c r="B74"/>
  <c r="C74"/>
  <c r="D74"/>
  <c r="E74"/>
  <c r="F74"/>
  <c r="G74"/>
  <c r="B75"/>
  <c r="C75"/>
  <c r="D75"/>
  <c r="E75"/>
  <c r="F75"/>
  <c r="G75"/>
  <c r="B76"/>
  <c r="C76"/>
  <c r="D76"/>
  <c r="E76"/>
  <c r="F76"/>
  <c r="G76"/>
  <c r="B77"/>
  <c r="C77"/>
  <c r="D77"/>
  <c r="E77"/>
  <c r="F77"/>
  <c r="G77"/>
  <c r="B78"/>
  <c r="C78"/>
  <c r="D78"/>
  <c r="E78"/>
  <c r="F78"/>
  <c r="G78"/>
  <c r="B79"/>
  <c r="C79"/>
  <c r="D79"/>
  <c r="E79"/>
  <c r="F79"/>
  <c r="G79"/>
  <c r="B80"/>
  <c r="C80"/>
  <c r="D80"/>
  <c r="E80"/>
  <c r="F80"/>
  <c r="G80"/>
  <c r="C65"/>
  <c r="C81"/>
  <c r="D65"/>
  <c r="E65"/>
  <c r="E81"/>
  <c r="F65"/>
  <c r="G65"/>
  <c r="G81"/>
  <c r="B65"/>
  <c r="A66"/>
  <c r="A67"/>
  <c r="A68"/>
  <c r="A69"/>
  <c r="A70"/>
  <c r="A71"/>
  <c r="A72"/>
  <c r="A73"/>
  <c r="A74"/>
  <c r="A75"/>
  <c r="A76"/>
  <c r="A77"/>
  <c r="A78"/>
  <c r="A79"/>
  <c r="A80"/>
  <c r="A65"/>
  <c r="A20"/>
  <c r="G20"/>
  <c r="F20"/>
  <c r="E20"/>
  <c r="D20"/>
  <c r="C20"/>
  <c r="B20"/>
  <c r="A113"/>
  <c r="A114"/>
  <c r="B113"/>
  <c r="B114"/>
  <c r="C113"/>
  <c r="C114"/>
  <c r="D113"/>
  <c r="D114"/>
  <c r="E113"/>
  <c r="E114"/>
  <c r="F113"/>
  <c r="F114"/>
  <c r="G113"/>
  <c r="G114"/>
  <c r="C97"/>
  <c r="E97"/>
  <c r="G97"/>
  <c r="C99"/>
  <c r="E99"/>
  <c r="G99"/>
  <c r="C101"/>
  <c r="E101"/>
  <c r="G101"/>
  <c r="C103"/>
  <c r="E103"/>
  <c r="G103"/>
  <c r="C105"/>
  <c r="E105"/>
  <c r="G105"/>
  <c r="C107"/>
  <c r="E107"/>
  <c r="G107"/>
  <c r="C94"/>
  <c r="E94"/>
  <c r="G94"/>
  <c r="C92"/>
  <c r="E92"/>
  <c r="G92"/>
  <c r="B48"/>
  <c r="C48"/>
  <c r="D48"/>
  <c r="E48"/>
  <c r="F48"/>
  <c r="G48"/>
  <c r="A49"/>
  <c r="B49"/>
  <c r="C49"/>
  <c r="D49"/>
  <c r="E49"/>
  <c r="F49"/>
  <c r="G49"/>
  <c r="B50"/>
  <c r="C50"/>
  <c r="D50"/>
  <c r="E50"/>
  <c r="F50"/>
  <c r="G50"/>
  <c r="A51"/>
  <c r="B51"/>
  <c r="C51"/>
  <c r="D51"/>
  <c r="E51"/>
  <c r="F51"/>
  <c r="G51"/>
  <c r="B52"/>
  <c r="C52"/>
  <c r="D52"/>
  <c r="E52"/>
  <c r="F52"/>
  <c r="G52"/>
  <c r="A53"/>
  <c r="B53"/>
  <c r="C53"/>
  <c r="D53"/>
  <c r="E53"/>
  <c r="F53"/>
  <c r="G53"/>
  <c r="B54"/>
  <c r="C54"/>
  <c r="D54"/>
  <c r="E54"/>
  <c r="F54"/>
  <c r="G54"/>
  <c r="A55"/>
  <c r="B55"/>
  <c r="C55"/>
  <c r="D55"/>
  <c r="E55"/>
  <c r="F55"/>
  <c r="G55"/>
  <c r="B56"/>
  <c r="C56"/>
  <c r="D56"/>
  <c r="E56"/>
  <c r="F56"/>
  <c r="G56"/>
  <c r="A57"/>
  <c r="B57"/>
  <c r="C57"/>
  <c r="D57"/>
  <c r="E57"/>
  <c r="F57"/>
  <c r="G57"/>
  <c r="B58"/>
  <c r="C58"/>
  <c r="D58"/>
  <c r="E58"/>
  <c r="F58"/>
  <c r="G58"/>
  <c r="A59"/>
  <c r="B59"/>
  <c r="C59"/>
  <c r="D59"/>
  <c r="E59"/>
  <c r="F59"/>
  <c r="G59"/>
  <c r="B60"/>
  <c r="C60"/>
  <c r="D60"/>
  <c r="E60"/>
  <c r="F60"/>
  <c r="G60"/>
  <c r="A61"/>
  <c r="B61"/>
  <c r="C61"/>
  <c r="D61"/>
  <c r="E61"/>
  <c r="F61"/>
  <c r="G61"/>
  <c r="B62"/>
  <c r="C62"/>
  <c r="D62"/>
  <c r="E62"/>
  <c r="F62"/>
  <c r="G62"/>
  <c r="G47"/>
  <c r="F47"/>
  <c r="E47"/>
  <c r="D47"/>
  <c r="C47"/>
  <c r="B47"/>
  <c r="A43"/>
  <c r="B43"/>
  <c r="C43"/>
  <c r="D43"/>
  <c r="E43"/>
  <c r="F43"/>
  <c r="G43"/>
  <c r="AU33"/>
  <c r="AT33"/>
  <c r="AS33"/>
  <c r="AR33"/>
  <c r="AQ33"/>
  <c r="AP33"/>
  <c r="AO33"/>
  <c r="AT32"/>
  <c r="AS32"/>
  <c r="AR32"/>
  <c r="AQ32"/>
  <c r="AP32"/>
  <c r="AO32"/>
  <c r="AS31"/>
  <c r="AR31"/>
  <c r="AQ31"/>
  <c r="AP31"/>
  <c r="AO31"/>
  <c r="AR30"/>
  <c r="AQ30"/>
  <c r="AP30"/>
  <c r="AO30"/>
  <c r="AQ29"/>
  <c r="AP29"/>
  <c r="AO29"/>
  <c r="AP28"/>
  <c r="AO28"/>
  <c r="AO27"/>
  <c r="K32"/>
  <c r="J32"/>
  <c r="K7"/>
  <c r="J7"/>
  <c r="I28"/>
  <c r="I3"/>
  <c r="I34"/>
  <c r="I29"/>
  <c r="I35"/>
  <c r="I4"/>
  <c r="I30"/>
  <c r="I5"/>
  <c r="I36"/>
  <c r="B19"/>
  <c r="C19"/>
  <c r="D19"/>
  <c r="E19"/>
  <c r="F19"/>
  <c r="G19"/>
  <c r="A19"/>
  <c r="D14" i="4"/>
  <c r="E5"/>
  <c r="D4"/>
  <c r="B25" i="5" a="1"/>
  <c r="B25"/>
  <c r="B35" a="1"/>
  <c r="C25"/>
  <c r="D25"/>
  <c r="E25"/>
  <c r="F25"/>
  <c r="G25"/>
  <c r="H25"/>
  <c r="B26"/>
  <c r="C26"/>
  <c r="D26"/>
  <c r="E26"/>
  <c r="F26"/>
  <c r="G26"/>
  <c r="H26"/>
  <c r="B27"/>
  <c r="C27"/>
  <c r="D27"/>
  <c r="E27"/>
  <c r="F27"/>
  <c r="G27"/>
  <c r="H27"/>
  <c r="B28"/>
  <c r="C28"/>
  <c r="D28"/>
  <c r="E28"/>
  <c r="F28"/>
  <c r="G28"/>
  <c r="H28"/>
  <c r="B29"/>
  <c r="C29"/>
  <c r="D29"/>
  <c r="E29"/>
  <c r="F29"/>
  <c r="G29"/>
  <c r="H29"/>
  <c r="B30"/>
  <c r="C30"/>
  <c r="D30"/>
  <c r="E30"/>
  <c r="F30"/>
  <c r="G30"/>
  <c r="H30"/>
  <c r="B31"/>
  <c r="C31"/>
  <c r="D31"/>
  <c r="E31"/>
  <c r="F31"/>
  <c r="G31"/>
  <c r="H31"/>
  <c r="M3"/>
  <c r="L3" s="1"/>
  <c r="K3" s="1"/>
  <c r="M4"/>
  <c r="L4"/>
  <c r="K4" s="1"/>
  <c r="M5"/>
  <c r="L5" s="1"/>
  <c r="K5" s="1"/>
  <c r="M6"/>
  <c r="L6" s="1"/>
  <c r="K6" s="1"/>
  <c r="M7"/>
  <c r="L7" s="1"/>
  <c r="K7" s="1"/>
  <c r="M8"/>
  <c r="L8" s="1"/>
  <c r="K8" s="1"/>
  <c r="M9"/>
  <c r="L9" s="1"/>
  <c r="K9" s="1"/>
  <c r="M10"/>
  <c r="L10" s="1"/>
  <c r="K10" s="1"/>
  <c r="M11"/>
  <c r="L11" s="1"/>
  <c r="K11" s="1"/>
  <c r="M12"/>
  <c r="L12"/>
  <c r="K12" s="1"/>
  <c r="M13"/>
  <c r="L13" s="1"/>
  <c r="K13" s="1"/>
  <c r="M14"/>
  <c r="L14" s="1"/>
  <c r="K14" s="1"/>
  <c r="M15"/>
  <c r="L15" s="1"/>
  <c r="K15" s="1"/>
  <c r="M16"/>
  <c r="L16" s="1"/>
  <c r="K16" s="1"/>
  <c r="M17"/>
  <c r="L17" s="1"/>
  <c r="K17" s="1"/>
  <c r="M2"/>
  <c r="L2"/>
  <c r="K2" s="1"/>
  <c r="H19"/>
  <c r="M3" i="6"/>
  <c r="L3" s="1"/>
  <c r="K3" s="1"/>
  <c r="M4"/>
  <c r="L4" s="1"/>
  <c r="K4" s="1"/>
  <c r="M5"/>
  <c r="L5" s="1"/>
  <c r="K5" s="1"/>
  <c r="M6"/>
  <c r="L6" s="1"/>
  <c r="K6" s="1"/>
  <c r="M7"/>
  <c r="L7" s="1"/>
  <c r="K7" s="1"/>
  <c r="M8"/>
  <c r="L8" s="1"/>
  <c r="K8" s="1"/>
  <c r="M9"/>
  <c r="L9"/>
  <c r="K9" s="1"/>
  <c r="M10"/>
  <c r="L10" s="1"/>
  <c r="K10" s="1"/>
  <c r="M11"/>
  <c r="L11" s="1"/>
  <c r="K11" s="1"/>
  <c r="M12"/>
  <c r="L12" s="1"/>
  <c r="K12" s="1"/>
  <c r="M13"/>
  <c r="L13" s="1"/>
  <c r="K13" s="1"/>
  <c r="M14"/>
  <c r="L14" s="1"/>
  <c r="K14" s="1"/>
  <c r="M15"/>
  <c r="L15" s="1"/>
  <c r="K15" s="1"/>
  <c r="M16"/>
  <c r="L16" s="1"/>
  <c r="K16" s="1"/>
  <c r="M17"/>
  <c r="L17"/>
  <c r="K17" s="1"/>
  <c r="M2"/>
  <c r="L2" s="1"/>
  <c r="K2" s="1"/>
  <c r="B25" a="1"/>
  <c r="C25"/>
  <c r="E25"/>
  <c r="G25"/>
  <c r="B26"/>
  <c r="D26"/>
  <c r="F26"/>
  <c r="H26"/>
  <c r="C27"/>
  <c r="E27"/>
  <c r="G27"/>
  <c r="B28"/>
  <c r="D28"/>
  <c r="F28"/>
  <c r="G28"/>
  <c r="H28"/>
  <c r="B29"/>
  <c r="C29"/>
  <c r="D29"/>
  <c r="E29"/>
  <c r="F29"/>
  <c r="G29"/>
  <c r="H29"/>
  <c r="B30"/>
  <c r="C30"/>
  <c r="D30"/>
  <c r="E30"/>
  <c r="F30"/>
  <c r="G30"/>
  <c r="H30"/>
  <c r="B31"/>
  <c r="C31"/>
  <c r="D31"/>
  <c r="E31"/>
  <c r="F31"/>
  <c r="G31"/>
  <c r="H31"/>
  <c r="H19"/>
  <c r="A22" i="8"/>
  <c r="A23"/>
  <c r="A24"/>
  <c r="A25"/>
  <c r="A26"/>
  <c r="A27"/>
  <c r="A28"/>
  <c r="A29"/>
  <c r="A30"/>
  <c r="A31"/>
  <c r="A32"/>
  <c r="A33"/>
  <c r="A34"/>
  <c r="A35"/>
  <c r="A36"/>
  <c r="A37"/>
  <c r="A39"/>
  <c r="I2"/>
  <c r="B22"/>
  <c r="B23"/>
  <c r="B24"/>
  <c r="B25"/>
  <c r="B26"/>
  <c r="B27"/>
  <c r="B28"/>
  <c r="B29"/>
  <c r="B30"/>
  <c r="B31"/>
  <c r="B32"/>
  <c r="B33"/>
  <c r="B34"/>
  <c r="B35"/>
  <c r="B36"/>
  <c r="B37"/>
  <c r="B39"/>
  <c r="I3"/>
  <c r="C22"/>
  <c r="C23"/>
  <c r="C24"/>
  <c r="C25"/>
  <c r="C26"/>
  <c r="C27"/>
  <c r="C28"/>
  <c r="C29"/>
  <c r="C30"/>
  <c r="C31"/>
  <c r="C32"/>
  <c r="C33"/>
  <c r="C34"/>
  <c r="C35"/>
  <c r="C36"/>
  <c r="C37"/>
  <c r="C39"/>
  <c r="I4"/>
  <c r="D22"/>
  <c r="D23"/>
  <c r="D24"/>
  <c r="D25"/>
  <c r="D26"/>
  <c r="D27"/>
  <c r="D28"/>
  <c r="D29"/>
  <c r="D30"/>
  <c r="D31"/>
  <c r="D32"/>
  <c r="D33"/>
  <c r="D34"/>
  <c r="D35"/>
  <c r="D36"/>
  <c r="D37"/>
  <c r="D39"/>
  <c r="I5"/>
  <c r="E22"/>
  <c r="E23"/>
  <c r="E24"/>
  <c r="E25"/>
  <c r="E26"/>
  <c r="E27"/>
  <c r="E28"/>
  <c r="E29"/>
  <c r="E30"/>
  <c r="E31"/>
  <c r="E32"/>
  <c r="E33"/>
  <c r="E34"/>
  <c r="E35"/>
  <c r="E36"/>
  <c r="E37"/>
  <c r="E39"/>
  <c r="I6"/>
  <c r="F22"/>
  <c r="F23"/>
  <c r="F24"/>
  <c r="F25"/>
  <c r="F26"/>
  <c r="F27"/>
  <c r="F28"/>
  <c r="F29"/>
  <c r="F30"/>
  <c r="F31"/>
  <c r="F32"/>
  <c r="F33"/>
  <c r="F34"/>
  <c r="F35"/>
  <c r="F36"/>
  <c r="F37"/>
  <c r="F39"/>
  <c r="I7"/>
  <c r="G22"/>
  <c r="G23"/>
  <c r="G24"/>
  <c r="G25"/>
  <c r="G26"/>
  <c r="G27"/>
  <c r="G28"/>
  <c r="G29"/>
  <c r="G30"/>
  <c r="G31"/>
  <c r="G32"/>
  <c r="G33"/>
  <c r="G34"/>
  <c r="G35"/>
  <c r="G36"/>
  <c r="G37"/>
  <c r="G39"/>
  <c r="I8"/>
  <c r="J26" a="1"/>
  <c r="O31"/>
  <c r="AF25" i="2"/>
  <c r="AE24"/>
  <c r="AE26"/>
  <c r="AD24"/>
  <c r="AD26"/>
  <c r="AC23"/>
  <c r="AC25"/>
  <c r="AH26"/>
  <c r="AF24"/>
  <c r="AD22"/>
  <c r="W26"/>
  <c r="W25"/>
  <c r="V26"/>
  <c r="U25"/>
  <c r="T23"/>
  <c r="T25"/>
  <c r="V24"/>
  <c r="T22"/>
  <c r="S23"/>
  <c r="S25"/>
  <c r="S21"/>
  <c r="AG26"/>
  <c r="AF26"/>
  <c r="AE25"/>
  <c r="AD23"/>
  <c r="AD25"/>
  <c r="AC22"/>
  <c r="AC24"/>
  <c r="AC26"/>
  <c r="AG25"/>
  <c r="AE23"/>
  <c r="AC21"/>
  <c r="X26"/>
  <c r="V25"/>
  <c r="U24"/>
  <c r="U26"/>
  <c r="T24"/>
  <c r="T26"/>
  <c r="U23"/>
  <c r="S22"/>
  <c r="S24"/>
  <c r="S26"/>
  <c r="F95" i="1"/>
  <c r="B95"/>
  <c r="E94"/>
  <c r="A94"/>
  <c r="D93"/>
  <c r="G92"/>
  <c r="C92"/>
  <c r="F91"/>
  <c r="B91"/>
  <c r="E90"/>
  <c r="A90"/>
  <c r="D89"/>
  <c r="F38"/>
  <c r="B38"/>
  <c r="D36"/>
  <c r="F34"/>
  <c r="B34"/>
  <c r="D32"/>
  <c r="F30"/>
  <c r="B30"/>
  <c r="D28"/>
  <c r="F26"/>
  <c r="B26"/>
  <c r="D24"/>
  <c r="D95"/>
  <c r="G94"/>
  <c r="C94"/>
  <c r="F93"/>
  <c r="B93"/>
  <c r="E92"/>
  <c r="A92"/>
  <c r="D91"/>
  <c r="G90"/>
  <c r="C90"/>
  <c r="F89"/>
  <c r="B89"/>
  <c r="H41" i="5"/>
  <c r="F41"/>
  <c r="D41"/>
  <c r="B41"/>
  <c r="G40"/>
  <c r="E40"/>
  <c r="C40"/>
  <c r="H39"/>
  <c r="F39"/>
  <c r="D39"/>
  <c r="B39"/>
  <c r="G38"/>
  <c r="E38"/>
  <c r="C38"/>
  <c r="H37"/>
  <c r="F37"/>
  <c r="D37"/>
  <c r="B37"/>
  <c r="G36"/>
  <c r="E36"/>
  <c r="C36"/>
  <c r="H35"/>
  <c r="F35"/>
  <c r="D35"/>
  <c r="B35"/>
  <c r="E41"/>
  <c r="H40"/>
  <c r="D40"/>
  <c r="G39"/>
  <c r="C39"/>
  <c r="F38"/>
  <c r="B38"/>
  <c r="E37"/>
  <c r="H36"/>
  <c r="D36"/>
  <c r="G35"/>
  <c r="C35"/>
  <c r="G41"/>
  <c r="F40"/>
  <c r="E39"/>
  <c r="D38"/>
  <c r="C37"/>
  <c r="B36"/>
  <c r="C41"/>
  <c r="B40"/>
  <c r="H38"/>
  <c r="G37"/>
  <c r="F36"/>
  <c r="E35"/>
  <c r="I9" i="8"/>
  <c r="K9"/>
  <c r="J26"/>
  <c r="L26"/>
  <c r="N26"/>
  <c r="J27"/>
  <c r="L27"/>
  <c r="N27"/>
  <c r="J28"/>
  <c r="L28"/>
  <c r="N28"/>
  <c r="J29"/>
  <c r="L29"/>
  <c r="N29"/>
  <c r="J30"/>
  <c r="L30"/>
  <c r="N30"/>
  <c r="J31"/>
  <c r="L31"/>
  <c r="N31"/>
  <c r="B25" i="6"/>
  <c r="D25"/>
  <c r="F25"/>
  <c r="H25"/>
  <c r="C26"/>
  <c r="E26"/>
  <c r="G26"/>
  <c r="B27"/>
  <c r="D27"/>
  <c r="F27"/>
  <c r="H27"/>
  <c r="C28"/>
  <c r="E28"/>
  <c r="A47" i="3"/>
  <c r="A48"/>
  <c r="A50"/>
  <c r="A52"/>
  <c r="A54"/>
  <c r="A56"/>
  <c r="A58"/>
  <c r="A60"/>
  <c r="A62"/>
  <c r="A81"/>
  <c r="A93"/>
  <c r="G96"/>
  <c r="G98"/>
  <c r="G100"/>
  <c r="G102"/>
  <c r="G104"/>
  <c r="G106"/>
  <c r="G93"/>
  <c r="G95"/>
  <c r="E96"/>
  <c r="E98"/>
  <c r="E100"/>
  <c r="E102"/>
  <c r="E104"/>
  <c r="E106"/>
  <c r="E93"/>
  <c r="E95"/>
  <c r="C96"/>
  <c r="C98"/>
  <c r="C100"/>
  <c r="C102"/>
  <c r="C104"/>
  <c r="C106"/>
  <c r="C93"/>
  <c r="C95"/>
  <c r="K26" i="8"/>
  <c r="M26"/>
  <c r="O26"/>
  <c r="K27"/>
  <c r="M27"/>
  <c r="O27"/>
  <c r="K28"/>
  <c r="M28"/>
  <c r="O28"/>
  <c r="K29"/>
  <c r="M29"/>
  <c r="O29"/>
  <c r="K30"/>
  <c r="M30"/>
  <c r="O30"/>
  <c r="K31"/>
  <c r="M31"/>
  <c r="A95" i="3"/>
  <c r="D107"/>
  <c r="D103"/>
  <c r="D99"/>
  <c r="D94"/>
  <c r="F81"/>
  <c r="F107"/>
  <c r="D81"/>
  <c r="B81"/>
  <c r="B107"/>
  <c r="H49" i="1"/>
  <c r="I39" i="2"/>
  <c r="K39"/>
  <c r="M39"/>
  <c r="I40"/>
  <c r="K40"/>
  <c r="M40"/>
  <c r="I41"/>
  <c r="K41"/>
  <c r="M41"/>
  <c r="I42"/>
  <c r="K42"/>
  <c r="B23" i="1"/>
  <c r="D23"/>
  <c r="F23"/>
  <c r="G38"/>
  <c r="E38"/>
  <c r="C38"/>
  <c r="A38"/>
  <c r="F37"/>
  <c r="D37"/>
  <c r="B37"/>
  <c r="G36"/>
  <c r="E36"/>
  <c r="C36"/>
  <c r="A36"/>
  <c r="F35"/>
  <c r="D35"/>
  <c r="B35"/>
  <c r="G34"/>
  <c r="E34"/>
  <c r="C34"/>
  <c r="A34"/>
  <c r="F33"/>
  <c r="D33"/>
  <c r="B33"/>
  <c r="G32"/>
  <c r="E32"/>
  <c r="C32"/>
  <c r="A32"/>
  <c r="F31"/>
  <c r="D31"/>
  <c r="B31"/>
  <c r="G30"/>
  <c r="E30"/>
  <c r="C30"/>
  <c r="A30"/>
  <c r="F29"/>
  <c r="D29"/>
  <c r="B29"/>
  <c r="G28"/>
  <c r="E28"/>
  <c r="C28"/>
  <c r="A28"/>
  <c r="F27"/>
  <c r="D27"/>
  <c r="B27"/>
  <c r="G26"/>
  <c r="E26"/>
  <c r="C26"/>
  <c r="A26"/>
  <c r="F25"/>
  <c r="D25"/>
  <c r="B25"/>
  <c r="G24"/>
  <c r="E24"/>
  <c r="C24"/>
  <c r="A24"/>
  <c r="G95"/>
  <c r="E95"/>
  <c r="C95"/>
  <c r="A95"/>
  <c r="F94"/>
  <c r="D94"/>
  <c r="B94"/>
  <c r="G93"/>
  <c r="E93"/>
  <c r="C93"/>
  <c r="A93"/>
  <c r="F92"/>
  <c r="D92"/>
  <c r="B92"/>
  <c r="G91"/>
  <c r="E91"/>
  <c r="C91"/>
  <c r="A91"/>
  <c r="F90"/>
  <c r="D90"/>
  <c r="B90"/>
  <c r="G89"/>
  <c r="E89"/>
  <c r="C89"/>
  <c r="A98" a="1"/>
  <c r="D92" i="3"/>
  <c r="D96"/>
  <c r="D100"/>
  <c r="D104"/>
  <c r="D93"/>
  <c r="D98"/>
  <c r="D102"/>
  <c r="D106"/>
  <c r="D95"/>
  <c r="B94"/>
  <c r="F94"/>
  <c r="D97"/>
  <c r="B99"/>
  <c r="F99"/>
  <c r="D101"/>
  <c r="B103"/>
  <c r="F103"/>
  <c r="D105"/>
  <c r="G104" i="1"/>
  <c r="E104"/>
  <c r="C104"/>
  <c r="A104"/>
  <c r="F103"/>
  <c r="D103"/>
  <c r="B103"/>
  <c r="G102"/>
  <c r="E102"/>
  <c r="C102"/>
  <c r="A102"/>
  <c r="F101"/>
  <c r="D101"/>
  <c r="B101"/>
  <c r="G100"/>
  <c r="E100"/>
  <c r="C100"/>
  <c r="A100"/>
  <c r="F99"/>
  <c r="D99"/>
  <c r="B99"/>
  <c r="G98"/>
  <c r="E98"/>
  <c r="C98"/>
  <c r="A98"/>
  <c r="F104"/>
  <c r="D104"/>
  <c r="B104"/>
  <c r="G103"/>
  <c r="E103"/>
  <c r="C103"/>
  <c r="A103"/>
  <c r="F102"/>
  <c r="D102"/>
  <c r="B102"/>
  <c r="G101"/>
  <c r="E101"/>
  <c r="C101"/>
  <c r="A101"/>
  <c r="F100"/>
  <c r="D100"/>
  <c r="B100"/>
  <c r="G99"/>
  <c r="E99"/>
  <c r="C99"/>
  <c r="A99"/>
  <c r="F98"/>
  <c r="D98"/>
  <c r="B98"/>
  <c r="B92" i="3"/>
  <c r="B98"/>
  <c r="B102"/>
  <c r="B106"/>
  <c r="B95"/>
  <c r="B96"/>
  <c r="B100"/>
  <c r="B104"/>
  <c r="B93"/>
  <c r="F92"/>
  <c r="F98"/>
  <c r="F102"/>
  <c r="F106"/>
  <c r="F95"/>
  <c r="F96"/>
  <c r="F100"/>
  <c r="F104"/>
  <c r="F93"/>
  <c r="A96"/>
  <c r="A98"/>
  <c r="A100"/>
  <c r="A102"/>
  <c r="A104"/>
  <c r="A106"/>
  <c r="A97"/>
  <c r="A101"/>
  <c r="A105"/>
  <c r="A94"/>
  <c r="A92"/>
  <c r="A99"/>
  <c r="A103"/>
  <c r="A107"/>
  <c r="B97"/>
  <c r="F97"/>
  <c r="B101"/>
  <c r="F101"/>
  <c r="B105"/>
  <c r="F105"/>
  <c r="B35" i="6" a="1"/>
  <c r="J33" i="8" a="1"/>
  <c r="B44" i="5"/>
  <c r="N38" i="8"/>
  <c r="L38"/>
  <c r="J38"/>
  <c r="N37"/>
  <c r="L37"/>
  <c r="J37"/>
  <c r="N36"/>
  <c r="L36"/>
  <c r="J36"/>
  <c r="N35"/>
  <c r="L35"/>
  <c r="J35"/>
  <c r="N34"/>
  <c r="L34"/>
  <c r="J34"/>
  <c r="N33"/>
  <c r="L33"/>
  <c r="J33"/>
  <c r="O38"/>
  <c r="M38"/>
  <c r="K38"/>
  <c r="O37"/>
  <c r="M37"/>
  <c r="K37"/>
  <c r="O36"/>
  <c r="M36"/>
  <c r="K36"/>
  <c r="O35"/>
  <c r="M35"/>
  <c r="K35"/>
  <c r="O34"/>
  <c r="M34"/>
  <c r="K34"/>
  <c r="O33"/>
  <c r="M33"/>
  <c r="K33"/>
  <c r="G41" i="6"/>
  <c r="E41"/>
  <c r="C41"/>
  <c r="H40"/>
  <c r="F40"/>
  <c r="D40"/>
  <c r="B40"/>
  <c r="G39"/>
  <c r="E39"/>
  <c r="C39"/>
  <c r="H38"/>
  <c r="F38"/>
  <c r="D38"/>
  <c r="B38"/>
  <c r="G37"/>
  <c r="E37"/>
  <c r="C37"/>
  <c r="H36"/>
  <c r="F36"/>
  <c r="D36"/>
  <c r="B36"/>
  <c r="G35"/>
  <c r="E35"/>
  <c r="C35"/>
  <c r="H41"/>
  <c r="F41"/>
  <c r="D41"/>
  <c r="G40"/>
  <c r="C40"/>
  <c r="F39"/>
  <c r="B39"/>
  <c r="E38"/>
  <c r="H37"/>
  <c r="D37"/>
  <c r="G36"/>
  <c r="C36"/>
  <c r="F35"/>
  <c r="B35"/>
  <c r="B44"/>
  <c r="B41"/>
  <c r="E40"/>
  <c r="H39"/>
  <c r="D39"/>
  <c r="G38"/>
  <c r="C38"/>
  <c r="F37"/>
  <c r="B37"/>
  <c r="E36"/>
  <c r="H35"/>
  <c r="D35"/>
  <c r="A107" i="1" a="1"/>
  <c r="A107"/>
  <c r="A108"/>
  <c r="A109"/>
  <c r="B108"/>
  <c r="B109"/>
  <c r="K40" i="8"/>
  <c r="B95" i="10"/>
  <c r="E94"/>
  <c r="A94"/>
  <c r="D93"/>
  <c r="G92"/>
  <c r="C92"/>
  <c r="F91"/>
  <c r="B91"/>
  <c r="E90"/>
  <c r="A90"/>
  <c r="D89"/>
  <c r="G95"/>
  <c r="C95"/>
  <c r="F94"/>
  <c r="B94"/>
  <c r="E93"/>
  <c r="A93"/>
  <c r="D92"/>
  <c r="G91"/>
  <c r="C91"/>
  <c r="F90"/>
  <c r="B90"/>
  <c r="E89"/>
  <c r="A89"/>
  <c r="D95"/>
  <c r="G94"/>
  <c r="C94"/>
  <c r="F93"/>
  <c r="B93"/>
  <c r="E92"/>
  <c r="A92"/>
  <c r="D91"/>
  <c r="G90"/>
  <c r="C90"/>
  <c r="F89"/>
  <c r="B89"/>
  <c r="E95"/>
  <c r="A95"/>
  <c r="D94"/>
  <c r="G93"/>
  <c r="C93"/>
  <c r="F92"/>
  <c r="B92"/>
  <c r="E91"/>
  <c r="A91"/>
  <c r="D90"/>
  <c r="G89"/>
  <c r="C89"/>
  <c r="A98" a="1"/>
  <c r="D104"/>
  <c r="G103"/>
  <c r="C103"/>
  <c r="F102"/>
  <c r="B102"/>
  <c r="E101"/>
  <c r="A101"/>
  <c r="D100"/>
  <c r="G99"/>
  <c r="C99"/>
  <c r="F98"/>
  <c r="B98"/>
  <c r="E104"/>
  <c r="A104"/>
  <c r="D103"/>
  <c r="G102"/>
  <c r="C102"/>
  <c r="F101"/>
  <c r="B101"/>
  <c r="E100"/>
  <c r="A100"/>
  <c r="D99"/>
  <c r="G98"/>
  <c r="C98"/>
  <c r="F104"/>
  <c r="B104"/>
  <c r="E103"/>
  <c r="A103"/>
  <c r="D102"/>
  <c r="G101"/>
  <c r="C101"/>
  <c r="F100"/>
  <c r="B100"/>
  <c r="E99"/>
  <c r="A99"/>
  <c r="D98"/>
  <c r="G104"/>
  <c r="C104"/>
  <c r="F103"/>
  <c r="B103"/>
  <c r="E102"/>
  <c r="A102"/>
  <c r="D101"/>
  <c r="G100"/>
  <c r="C100"/>
  <c r="F99"/>
  <c r="B99"/>
  <c r="E98"/>
  <c r="A98"/>
  <c r="A107" a="1"/>
  <c r="A107"/>
  <c r="A108"/>
  <c r="A109"/>
  <c r="B108"/>
  <c r="B109"/>
  <c r="M6" i="2"/>
  <c r="AF64"/>
  <c r="M46"/>
  <c r="AC44"/>
  <c r="Y71" i="3"/>
  <c r="Q72"/>
  <c r="M58"/>
  <c r="Z64"/>
  <c r="W64"/>
  <c r="N8"/>
  <c r="U50" i="2"/>
  <c r="AE66"/>
  <c r="L45"/>
  <c r="N9"/>
  <c r="M70" i="3"/>
  <c r="X6"/>
  <c r="AH52"/>
  <c r="AF53"/>
  <c r="X53"/>
  <c r="V52"/>
  <c r="N60"/>
  <c r="K11" i="2"/>
  <c r="O74" i="3"/>
  <c r="Z7"/>
  <c r="S54"/>
  <c r="M48"/>
  <c r="A82"/>
  <c r="S51" i="2"/>
  <c r="M48"/>
  <c r="AE41"/>
  <c r="J8"/>
  <c r="V68" i="3"/>
  <c r="M60"/>
  <c r="AE64"/>
  <c r="Y61"/>
  <c r="O4"/>
  <c r="L22" i="4"/>
  <c r="S48" i="2"/>
  <c r="K48"/>
  <c r="AD41"/>
  <c r="V70" i="3"/>
  <c r="AF61"/>
  <c r="V8"/>
  <c r="AE50"/>
  <c r="AA53"/>
  <c r="W54"/>
  <c r="P63"/>
  <c r="T6" i="8"/>
  <c r="X74" i="3"/>
  <c r="AG63"/>
  <c r="V5"/>
  <c r="P51"/>
  <c r="N54"/>
  <c r="I6" i="2"/>
  <c r="AE63"/>
  <c r="L46"/>
  <c r="M11"/>
  <c r="Z72" i="3"/>
  <c r="Q73"/>
  <c r="AI64"/>
  <c r="AA63"/>
  <c r="W60"/>
  <c r="G21"/>
  <c r="T52" i="2"/>
  <c r="AD64"/>
  <c r="I47"/>
  <c r="K8"/>
  <c r="M4" i="3"/>
  <c r="Y5"/>
  <c r="AH54"/>
  <c r="AF54"/>
  <c r="Y51"/>
  <c r="S64"/>
  <c r="N64"/>
  <c r="K9" i="2"/>
  <c r="M72" i="3"/>
  <c r="Y6"/>
  <c r="R53"/>
  <c r="O52"/>
  <c r="L19" i="4"/>
  <c r="AI66" i="2"/>
  <c r="L48"/>
  <c r="AD44"/>
  <c r="I8"/>
  <c r="N71" i="3"/>
  <c r="M62"/>
  <c r="AF60"/>
  <c r="X61"/>
  <c r="N5"/>
  <c r="D44" i="5"/>
  <c r="AG65" i="2"/>
  <c r="K47"/>
  <c r="AD40"/>
  <c r="O70" i="3"/>
  <c r="AF65"/>
  <c r="AJ54"/>
  <c r="AE51"/>
  <c r="Z53"/>
  <c r="V53"/>
  <c r="P61"/>
  <c r="T3" i="8"/>
  <c r="V72" i="3"/>
  <c r="AF62"/>
  <c r="V2"/>
  <c r="M50"/>
  <c r="N50"/>
  <c r="S53" i="2"/>
  <c r="J48"/>
  <c r="AD42"/>
  <c r="I10"/>
  <c r="N70" i="3"/>
  <c r="M61"/>
  <c r="AE65"/>
  <c r="W61"/>
  <c r="N4"/>
  <c r="L17" i="4"/>
  <c r="AG64" i="2"/>
  <c r="M47"/>
  <c r="AC41"/>
  <c r="N72" i="3"/>
  <c r="AB8"/>
  <c r="AJ53"/>
  <c r="AF51"/>
  <c r="Y54"/>
  <c r="V54"/>
  <c r="O61"/>
  <c r="M40" i="8"/>
  <c r="N69" i="3"/>
  <c r="W5"/>
  <c r="O54"/>
  <c r="AG66" i="2"/>
  <c r="AC42"/>
  <c r="O72" i="3"/>
  <c r="AB64"/>
  <c r="N7"/>
  <c r="AF65" i="2"/>
  <c r="AC43"/>
  <c r="AA8" i="3"/>
  <c r="AE52"/>
  <c r="V49"/>
  <c r="T5" i="8"/>
  <c r="AE60" i="3"/>
  <c r="M52"/>
  <c r="U52" i="2"/>
  <c r="I46"/>
  <c r="Y74" i="3"/>
  <c r="AH63"/>
  <c r="V61"/>
  <c r="X53" i="2"/>
  <c r="AF44"/>
  <c r="AJ64" i="3"/>
  <c r="AG53"/>
  <c r="W51"/>
  <c r="H84"/>
  <c r="M2"/>
  <c r="P52"/>
  <c r="K6" i="2"/>
  <c r="J46"/>
  <c r="X72" i="3"/>
  <c r="AJ65"/>
  <c r="X60"/>
  <c r="T49" i="2"/>
  <c r="N45"/>
  <c r="Q74" i="3"/>
  <c r="AI52"/>
  <c r="Y52"/>
  <c r="O64"/>
  <c r="P73"/>
  <c r="N59"/>
  <c r="B21"/>
  <c r="O60"/>
  <c r="M22"/>
  <c r="AD61" i="2"/>
  <c r="J9"/>
  <c r="M71" i="3"/>
  <c r="X62"/>
  <c r="B82"/>
  <c r="AC63" i="2"/>
  <c r="W72" i="3"/>
  <c r="X4"/>
  <c r="AE48"/>
  <c r="Q63"/>
  <c r="W69"/>
  <c r="W6"/>
  <c r="O50"/>
  <c r="AH65" i="2"/>
  <c r="AC40"/>
  <c r="P71" i="3"/>
  <c r="AE59"/>
  <c r="N6"/>
  <c r="AF63" i="2"/>
  <c r="N11"/>
  <c r="Y7" i="3"/>
  <c r="AF52"/>
  <c r="V50"/>
  <c r="T9" i="8"/>
  <c r="Z8" i="3"/>
  <c r="M53"/>
  <c r="W53" i="2"/>
  <c r="AE42"/>
  <c r="V71" i="3"/>
  <c r="AE62"/>
  <c r="V64"/>
  <c r="S50" i="2"/>
  <c r="AF42"/>
  <c r="AG64" i="3"/>
  <c r="AG54"/>
  <c r="W52"/>
  <c r="L21" i="4"/>
  <c r="AK65" i="3"/>
  <c r="P53"/>
  <c r="T51" i="2"/>
  <c r="U53"/>
  <c r="AC62"/>
  <c r="AF43"/>
  <c r="L9"/>
  <c r="V69" i="3"/>
  <c r="M73"/>
  <c r="AE61"/>
  <c r="Y62"/>
  <c r="V63"/>
  <c r="A21"/>
  <c r="S52" i="2"/>
  <c r="N48"/>
  <c r="AE43"/>
  <c r="Z74" i="3"/>
  <c r="AG62"/>
  <c r="V6"/>
  <c r="AG50"/>
  <c r="AA54"/>
  <c r="W53"/>
  <c r="P62"/>
  <c r="T4" i="8"/>
  <c r="Y73" i="3"/>
  <c r="AG65"/>
  <c r="V3"/>
  <c r="P54"/>
  <c r="N53"/>
  <c r="T50" i="2"/>
  <c r="AE65"/>
  <c r="M45"/>
  <c r="J11"/>
  <c r="X73" i="3"/>
  <c r="N74"/>
  <c r="AI63"/>
  <c r="Y63"/>
  <c r="W59"/>
  <c r="F82"/>
  <c r="U51" i="2"/>
  <c r="AD62"/>
  <c r="J45"/>
  <c r="M9"/>
  <c r="M74" i="3"/>
  <c r="X7"/>
  <c r="AH53"/>
  <c r="AE54"/>
  <c r="X54"/>
  <c r="V48"/>
  <c r="N62"/>
  <c r="J10" i="2"/>
  <c r="S74" i="3"/>
  <c r="Z6"/>
  <c r="R54"/>
  <c r="O51"/>
  <c r="H22"/>
  <c r="S49" i="2"/>
  <c r="AC66"/>
  <c r="AE44"/>
  <c r="N8"/>
  <c r="V73" i="3"/>
  <c r="M59"/>
  <c r="AE63"/>
  <c r="X64"/>
  <c r="V58"/>
  <c r="L20" i="4"/>
  <c r="AH66" i="2"/>
  <c r="N47"/>
  <c r="AD43"/>
  <c r="V74" i="3"/>
  <c r="AF63"/>
  <c r="AK54"/>
  <c r="AF50"/>
  <c r="Y53"/>
  <c r="W49"/>
  <c r="P64"/>
  <c r="T8" i="8"/>
  <c r="AB74" i="3"/>
  <c r="AG61"/>
  <c r="V7"/>
  <c r="M49"/>
  <c r="N49"/>
  <c r="V51" i="2"/>
  <c r="AD63"/>
  <c r="I48"/>
  <c r="N10"/>
  <c r="W74" i="3"/>
  <c r="R74"/>
  <c r="AH64"/>
  <c r="Y64"/>
  <c r="V60"/>
  <c r="D82"/>
  <c r="V52" i="2"/>
  <c r="AD66"/>
  <c r="I45"/>
  <c r="I9"/>
  <c r="M6" i="3"/>
  <c r="X5"/>
  <c r="AH51"/>
  <c r="AF49"/>
  <c r="X51"/>
  <c r="R64"/>
  <c r="G82"/>
  <c r="M8" i="2"/>
  <c r="M3" i="3"/>
  <c r="X8"/>
  <c r="Q53"/>
  <c r="O53"/>
  <c r="L23" i="4"/>
  <c r="AE62" i="2"/>
  <c r="K45"/>
  <c r="L10"/>
  <c r="Z73" i="3"/>
  <c r="P74"/>
  <c r="AH65"/>
  <c r="Z63"/>
  <c r="V59"/>
  <c r="E21"/>
  <c r="T53" i="2"/>
  <c r="AC61"/>
  <c r="AG44"/>
  <c r="X70" i="3"/>
  <c r="M8"/>
  <c r="W7"/>
  <c r="AG51"/>
  <c r="AE49"/>
  <c r="X50"/>
  <c r="R63"/>
  <c r="D21"/>
  <c r="I11" i="2"/>
  <c r="M5" i="3"/>
  <c r="Q54"/>
  <c r="D44" i="6"/>
  <c r="L47" i="2"/>
  <c r="W71" i="3"/>
  <c r="M64"/>
  <c r="W63"/>
  <c r="L6" i="2"/>
  <c r="N46"/>
  <c r="N73" i="3"/>
  <c r="AI53"/>
  <c r="Z52"/>
  <c r="O62"/>
  <c r="O71"/>
  <c r="N61"/>
  <c r="F21"/>
  <c r="AD65" i="2"/>
  <c r="K10"/>
  <c r="M69" i="3"/>
  <c r="Z62"/>
  <c r="C21"/>
  <c r="AC65" i="2"/>
  <c r="W73" i="3"/>
  <c r="W3"/>
  <c r="AB54"/>
  <c r="Q64"/>
  <c r="X71"/>
  <c r="W8"/>
  <c r="N51"/>
  <c r="AF66" i="2"/>
  <c r="AC39"/>
  <c r="O73" i="3"/>
  <c r="AA64"/>
  <c r="N3"/>
  <c r="AE64" i="2"/>
  <c r="M10"/>
  <c r="Y8" i="3"/>
  <c r="AE53"/>
  <c r="V51"/>
  <c r="L11" i="2"/>
  <c r="AA7" i="3"/>
  <c r="M54"/>
  <c r="AF64"/>
  <c r="M51"/>
  <c r="W52" i="2"/>
  <c r="AH44"/>
  <c r="AA74" i="3"/>
  <c r="AH62"/>
  <c r="V62"/>
  <c r="V53" i="2"/>
  <c r="AG43"/>
  <c r="AI65" i="3"/>
  <c r="AG52"/>
  <c r="W50"/>
  <c r="C82"/>
  <c r="M7"/>
  <c r="Q52"/>
  <c r="T7" i="8"/>
  <c r="J47" i="2"/>
  <c r="W70" i="3"/>
  <c r="M63"/>
  <c r="W62"/>
  <c r="J6" i="2"/>
  <c r="K46"/>
  <c r="R73" i="3"/>
  <c r="AI54"/>
  <c r="X52"/>
  <c r="O63"/>
  <c r="P72"/>
  <c r="N63"/>
  <c r="E82"/>
  <c r="AC64" i="2"/>
  <c r="L8"/>
  <c r="M68" i="3"/>
  <c r="X63"/>
  <c r="L18" i="4"/>
  <c r="AC60" i="2"/>
  <c r="AA73" i="3"/>
  <c r="V4"/>
  <c r="Z54"/>
  <c r="Q62"/>
  <c r="Y72"/>
  <c r="W4"/>
  <c r="N52"/>
  <c r="E83" l="1"/>
  <c r="C83"/>
  <c r="C22"/>
  <c r="C84"/>
  <c r="F84"/>
  <c r="F22"/>
  <c r="D22"/>
  <c r="D84"/>
  <c r="E22"/>
  <c r="E84"/>
  <c r="G83"/>
  <c r="D83"/>
  <c r="F83"/>
  <c r="A22"/>
  <c r="A84"/>
  <c r="B83"/>
  <c r="B84"/>
  <c r="B22"/>
  <c r="G22"/>
  <c r="G84"/>
  <c r="A83"/>
  <c r="K19" i="5"/>
  <c r="J2" s="1"/>
  <c r="J10"/>
  <c r="K19" i="6"/>
  <c r="J17" s="1"/>
  <c r="J15" i="5"/>
  <c r="J11"/>
  <c r="J7"/>
  <c r="J3"/>
  <c r="J7" i="6" l="1"/>
  <c r="J3"/>
  <c r="J11"/>
  <c r="J6" i="5"/>
  <c r="J14"/>
  <c r="J4"/>
  <c r="J8"/>
  <c r="J12"/>
  <c r="J16"/>
  <c r="J6" i="6"/>
  <c r="J10"/>
  <c r="J15"/>
  <c r="J5" i="5"/>
  <c r="J9"/>
  <c r="J13"/>
  <c r="J17"/>
  <c r="J4" i="6"/>
  <c r="J8"/>
  <c r="J12"/>
  <c r="J16"/>
  <c r="J14"/>
  <c r="J2"/>
  <c r="J5"/>
  <c r="J9"/>
  <c r="J13"/>
  <c r="J19" i="5" l="1"/>
  <c r="J19" i="6"/>
</calcChain>
</file>

<file path=xl/sharedStrings.xml><?xml version="1.0" encoding="utf-8"?>
<sst xmlns="http://schemas.openxmlformats.org/spreadsheetml/2006/main" count="851" uniqueCount="95">
  <si>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</si>
  <si>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</si>
  <si>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</si>
  <si>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</si>
  <si>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</si>
  <si>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</si>
  <si>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</si>
  <si>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</si>
  <si>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</si>
  <si>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</si>
  <si>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</si>
  <si>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</si>
  <si>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</si>
  <si>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</si>
  <si>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</si>
  <si>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</si>
  <si>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</si>
  <si>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</si>
  <si>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</si>
  <si>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</si>
  <si>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</si>
  <si>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</si>
  <si>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</si>
  <si>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</si>
  <si>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</si>
  <si>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</si>
  <si>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X Variable 3</t>
  </si>
  <si>
    <t>X Variable 4</t>
  </si>
  <si>
    <t>X Variable 5</t>
  </si>
  <si>
    <t>X Variable 6</t>
  </si>
  <si>
    <t>RESIDUAL OUTPUT</t>
  </si>
  <si>
    <t>Observation</t>
  </si>
  <si>
    <t>Predicted Y</t>
  </si>
  <si>
    <t>Residuals</t>
  </si>
  <si>
    <t>Original Intercept</t>
  </si>
  <si>
    <t>True Coefficient Values</t>
  </si>
  <si>
    <t>LRE</t>
  </si>
  <si>
    <t>X Matrix</t>
  </si>
  <si>
    <t>AB</t>
  </si>
  <si>
    <t>BC</t>
  </si>
  <si>
    <t>CD</t>
  </si>
  <si>
    <t>DE</t>
  </si>
  <si>
    <t>FG</t>
  </si>
  <si>
    <t>COVAR</t>
  </si>
  <si>
    <t>CORREL</t>
  </si>
  <si>
    <t>PEARSON</t>
  </si>
  <si>
    <t>RSQ</t>
  </si>
  <si>
    <t>CF</t>
  </si>
  <si>
    <t>AC</t>
  </si>
  <si>
    <t>A</t>
  </si>
  <si>
    <t>C</t>
  </si>
  <si>
    <t>STDEV</t>
  </si>
  <si>
    <t>SUM SIGNIFICANT FIGURES UP TO 12 ok</t>
  </si>
  <si>
    <t>SUM OF SIGNIFICANT FIGURES =18  RESULTS ARE WAY OFF</t>
  </si>
  <si>
    <t>PROBABILITY OUTPUT</t>
  </si>
  <si>
    <t>Percentile</t>
  </si>
  <si>
    <t>Y</t>
  </si>
  <si>
    <t>X1</t>
  </si>
  <si>
    <t>X2</t>
  </si>
  <si>
    <t>X3</t>
  </si>
  <si>
    <t>X4</t>
  </si>
  <si>
    <t>X5</t>
  </si>
  <si>
    <t>X6</t>
  </si>
  <si>
    <t>X7</t>
  </si>
  <si>
    <t>DELTA</t>
  </si>
  <si>
    <t>WORK</t>
  </si>
  <si>
    <t>RAND</t>
  </si>
  <si>
    <t>FACTOR</t>
  </si>
  <si>
    <t>Column 1</t>
  </si>
  <si>
    <t>Column 2</t>
  </si>
  <si>
    <t>Column 3</t>
  </si>
  <si>
    <t>Column 4</t>
  </si>
  <si>
    <t>Column 5</t>
  </si>
  <si>
    <t>Column 6</t>
  </si>
  <si>
    <t>Column 7</t>
  </si>
  <si>
    <t>NEWPEARSON</t>
  </si>
  <si>
    <t>Year-Time</t>
  </si>
  <si>
    <t>Population</t>
  </si>
  <si>
    <t>Military Employment</t>
  </si>
  <si>
    <t>Unemployment</t>
  </si>
  <si>
    <t>Gross National Product</t>
  </si>
  <si>
    <t>GNP Deflator</t>
  </si>
  <si>
    <t>Response</t>
  </si>
  <si>
    <t>B</t>
  </si>
  <si>
    <t>D</t>
  </si>
  <si>
    <t>E</t>
  </si>
  <si>
    <t>G</t>
  </si>
  <si>
    <t>X'X matrix</t>
  </si>
  <si>
    <t>Q matrix</t>
  </si>
  <si>
    <t>Additive</t>
  </si>
  <si>
    <t>Determ</t>
  </si>
  <si>
    <t>With Empty Cell</t>
  </si>
  <si>
    <t>No Empty Cells</t>
  </si>
  <si>
    <t>Predicted Response</t>
  </si>
  <si>
    <t>Standard Residuals</t>
  </si>
</sst>
</file>

<file path=xl/styles.xml><?xml version="1.0" encoding="utf-8"?>
<styleSheet xmlns="http://schemas.openxmlformats.org/spreadsheetml/2006/main">
  <numFmts count="11">
    <numFmt numFmtId="164" formatCode="0.0"/>
    <numFmt numFmtId="165" formatCode="0.000000000000"/>
    <numFmt numFmtId="169" formatCode="0.00000000"/>
    <numFmt numFmtId="170" formatCode="0.0000000000000000"/>
    <numFmt numFmtId="171" formatCode="0.0000"/>
    <numFmt numFmtId="173" formatCode="0.000000000"/>
    <numFmt numFmtId="174" formatCode="0.000000000000000"/>
    <numFmt numFmtId="175" formatCode="0.000000"/>
    <numFmt numFmtId="177" formatCode="0.000000E+00"/>
    <numFmt numFmtId="178" formatCode="0.0000E+00"/>
    <numFmt numFmtId="179" formatCode="0.000"/>
  </numFmts>
  <fonts count="4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2" fontId="0" fillId="0" borderId="0" xfId="0" applyNumberFormat="1"/>
    <xf numFmtId="164" fontId="0" fillId="0" borderId="0" xfId="0" applyNumberFormat="1"/>
    <xf numFmtId="2" fontId="0" fillId="0" borderId="1" xfId="0" applyNumberFormat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>
      <alignment horizontal="right" vertical="center"/>
    </xf>
    <xf numFmtId="2" fontId="0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right" vertical="center"/>
    </xf>
    <xf numFmtId="169" fontId="0" fillId="0" borderId="0" xfId="0" applyNumberFormat="1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171" fontId="0" fillId="0" borderId="0" xfId="0" applyNumberFormat="1" applyAlignment="1">
      <alignment horizontal="right" vertical="center"/>
    </xf>
    <xf numFmtId="170" fontId="0" fillId="0" borderId="0" xfId="0" applyNumberFormat="1"/>
    <xf numFmtId="171" fontId="0" fillId="0" borderId="0" xfId="0" applyNumberFormat="1"/>
    <xf numFmtId="165" fontId="0" fillId="0" borderId="0" xfId="0" applyNumberFormat="1"/>
    <xf numFmtId="49" fontId="1" fillId="0" borderId="0" xfId="0" applyNumberFormat="1" applyFont="1" applyAlignment="1">
      <alignment horizontal="center" vertical="center"/>
    </xf>
    <xf numFmtId="173" fontId="0" fillId="0" borderId="0" xfId="0" applyNumberFormat="1"/>
    <xf numFmtId="174" fontId="0" fillId="0" borderId="0" xfId="0" applyNumberFormat="1" applyFont="1" applyFill="1" applyBorder="1" applyAlignment="1"/>
    <xf numFmtId="170" fontId="0" fillId="0" borderId="0" xfId="0" applyNumberFormat="1" applyFont="1" applyFill="1" applyBorder="1" applyAlignment="1"/>
    <xf numFmtId="0" fontId="0" fillId="0" borderId="1" xfId="0" applyBorder="1"/>
    <xf numFmtId="2" fontId="0" fillId="0" borderId="1" xfId="0" applyNumberFormat="1" applyBorder="1"/>
    <xf numFmtId="175" fontId="0" fillId="0" borderId="0" xfId="0" applyNumberFormat="1"/>
    <xf numFmtId="177" fontId="0" fillId="0" borderId="0" xfId="0" applyNumberFormat="1"/>
    <xf numFmtId="178" fontId="0" fillId="0" borderId="0" xfId="0" applyNumberFormat="1"/>
    <xf numFmtId="179" fontId="0" fillId="0" borderId="0" xfId="0" applyNumberFormat="1"/>
    <xf numFmtId="0" fontId="0" fillId="0" borderId="0" xfId="0" applyFill="1" applyBorder="1" applyAlignment="1"/>
    <xf numFmtId="0" fontId="0" fillId="0" borderId="2" xfId="0" applyFill="1" applyBorder="1" applyAlignment="1"/>
    <xf numFmtId="0" fontId="2" fillId="0" borderId="3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Continuous"/>
    </xf>
    <xf numFmtId="49" fontId="0" fillId="0" borderId="0" xfId="0" applyNumberFormat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2" fillId="0" borderId="3" xfId="0" applyNumberFormat="1" applyFont="1" applyFill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/>
    </xf>
    <xf numFmtId="49" fontId="1" fillId="0" borderId="5" xfId="0" applyNumberFormat="1" applyFont="1" applyBorder="1" applyAlignment="1">
      <alignment horizontal="center"/>
    </xf>
    <xf numFmtId="49" fontId="1" fillId="0" borderId="6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6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Normal Probability Plot</a:t>
            </a:r>
          </a:p>
        </c:rich>
      </c:tx>
      <c:layout>
        <c:manualLayout>
          <c:xMode val="edge"/>
          <c:yMode val="edge"/>
          <c:x val="0.27027027027027029"/>
          <c:y val="3.178484107579462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0463320463320464"/>
          <c:y val="0.20048923690742104"/>
          <c:w val="0.73745173745173742"/>
          <c:h val="0.60391270141625608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Sheet3!$E$30:$E$45</c:f>
              <c:numCache>
                <c:formatCode>General</c:formatCode>
                <c:ptCount val="16"/>
                <c:pt idx="0">
                  <c:v>3.125</c:v>
                </c:pt>
                <c:pt idx="1">
                  <c:v>9.375</c:v>
                </c:pt>
                <c:pt idx="2">
                  <c:v>15.625</c:v>
                </c:pt>
                <c:pt idx="3">
                  <c:v>21.875</c:v>
                </c:pt>
                <c:pt idx="4">
                  <c:v>28.125</c:v>
                </c:pt>
                <c:pt idx="5">
                  <c:v>34.375</c:v>
                </c:pt>
                <c:pt idx="6">
                  <c:v>40.625</c:v>
                </c:pt>
                <c:pt idx="7">
                  <c:v>46.875</c:v>
                </c:pt>
                <c:pt idx="8">
                  <c:v>53.125</c:v>
                </c:pt>
                <c:pt idx="9">
                  <c:v>59.375</c:v>
                </c:pt>
                <c:pt idx="10">
                  <c:v>65.625</c:v>
                </c:pt>
                <c:pt idx="11">
                  <c:v>71.875</c:v>
                </c:pt>
                <c:pt idx="12">
                  <c:v>78.125</c:v>
                </c:pt>
                <c:pt idx="13">
                  <c:v>84.375</c:v>
                </c:pt>
                <c:pt idx="14">
                  <c:v>90.625</c:v>
                </c:pt>
                <c:pt idx="15">
                  <c:v>96.875</c:v>
                </c:pt>
              </c:numCache>
            </c:numRef>
          </c:xVal>
          <c:yVal>
            <c:numRef>
              <c:f>Sheet3!$F$30:$F$45</c:f>
              <c:numCache>
                <c:formatCode>General</c:formatCode>
                <c:ptCount val="16"/>
                <c:pt idx="0">
                  <c:v>60171</c:v>
                </c:pt>
                <c:pt idx="1">
                  <c:v>60323</c:v>
                </c:pt>
                <c:pt idx="2">
                  <c:v>61122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63761</c:v>
                </c:pt>
                <c:pt idx="7">
                  <c:v>64989</c:v>
                </c:pt>
                <c:pt idx="8">
                  <c:v>66019</c:v>
                </c:pt>
                <c:pt idx="9">
                  <c:v>66513</c:v>
                </c:pt>
                <c:pt idx="10">
                  <c:v>67857</c:v>
                </c:pt>
                <c:pt idx="11">
                  <c:v>68169</c:v>
                </c:pt>
                <c:pt idx="12">
                  <c:v>68655</c:v>
                </c:pt>
                <c:pt idx="13">
                  <c:v>69331</c:v>
                </c:pt>
                <c:pt idx="14">
                  <c:v>69564</c:v>
                </c:pt>
                <c:pt idx="15">
                  <c:v>70551</c:v>
                </c:pt>
              </c:numCache>
            </c:numRef>
          </c:yVal>
        </c:ser>
        <c:axId val="162910592"/>
        <c:axId val="162912896"/>
      </c:scatterChart>
      <c:valAx>
        <c:axId val="1629105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Sample Percentile</a:t>
                </a:r>
              </a:p>
            </c:rich>
          </c:tx>
          <c:layout>
            <c:manualLayout>
              <c:xMode val="edge"/>
              <c:yMode val="edge"/>
              <c:x val="0.43629343629343631"/>
              <c:y val="0.8924215646638301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912896"/>
        <c:crosses val="autoZero"/>
        <c:crossBetween val="midCat"/>
      </c:valAx>
      <c:valAx>
        <c:axId val="16291289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Y</a:t>
                </a:r>
              </a:p>
            </c:rich>
          </c:tx>
          <c:layout>
            <c:manualLayout>
              <c:xMode val="edge"/>
              <c:yMode val="edge"/>
              <c:x val="3.0888030888030889E-2"/>
              <c:y val="0.481663105070301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910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GNP Deflator  Residual Plot</a:t>
            </a:r>
          </a:p>
        </c:rich>
      </c:tx>
      <c:layout>
        <c:manualLayout>
          <c:xMode val="edge"/>
          <c:yMode val="edge"/>
          <c:x val="0.13802083333333334"/>
          <c:y val="4.3478260869565216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3257344"/>
        <c:axId val="163276288"/>
      </c:scatterChart>
      <c:valAx>
        <c:axId val="163257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GNP Deflator</a:t>
                </a:r>
              </a:p>
            </c:rich>
          </c:tx>
        </c:title>
        <c:numFmt formatCode="0.0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276288"/>
        <c:crosses val="autoZero"/>
        <c:crossBetween val="midCat"/>
      </c:valAx>
      <c:valAx>
        <c:axId val="1632762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Residuals</a:t>
                </a:r>
              </a:p>
            </c:rich>
          </c:tx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257344"/>
        <c:crosses val="autoZero"/>
        <c:crossBetween val="midCat"/>
      </c:valAx>
    </c:plotArea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Gross National Product  Residual Plot</a:t>
            </a:r>
          </a:p>
        </c:rich>
      </c:tx>
      <c:layout>
        <c:manualLayout>
          <c:xMode val="edge"/>
          <c:yMode val="edge"/>
          <c:x val="0.19010416666666666"/>
          <c:y val="4.6511627906976744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Sheet9!$C$2:$C$17</c:f>
              <c:numCache>
                <c:formatCode>0.0</c:formatCode>
                <c:ptCount val="16"/>
                <c:pt idx="0">
                  <c:v>234289</c:v>
                </c:pt>
                <c:pt idx="1">
                  <c:v>259426</c:v>
                </c:pt>
                <c:pt idx="2">
                  <c:v>258054</c:v>
                </c:pt>
                <c:pt idx="3">
                  <c:v>284599</c:v>
                </c:pt>
                <c:pt idx="4">
                  <c:v>328975</c:v>
                </c:pt>
                <c:pt idx="5">
                  <c:v>346999</c:v>
                </c:pt>
                <c:pt idx="6">
                  <c:v>365385</c:v>
                </c:pt>
                <c:pt idx="7">
                  <c:v>363112</c:v>
                </c:pt>
                <c:pt idx="8">
                  <c:v>397469</c:v>
                </c:pt>
                <c:pt idx="9">
                  <c:v>419180</c:v>
                </c:pt>
                <c:pt idx="10">
                  <c:v>442769</c:v>
                </c:pt>
                <c:pt idx="11">
                  <c:v>444546</c:v>
                </c:pt>
                <c:pt idx="12">
                  <c:v>482704</c:v>
                </c:pt>
                <c:pt idx="13">
                  <c:v>502601</c:v>
                </c:pt>
                <c:pt idx="14">
                  <c:v>518173</c:v>
                </c:pt>
                <c:pt idx="15">
                  <c:v>554894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3513088"/>
        <c:axId val="163515392"/>
      </c:scatterChart>
      <c:valAx>
        <c:axId val="163513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Gross National Product</a:t>
                </a:r>
              </a:p>
            </c:rich>
          </c:tx>
        </c:title>
        <c:numFmt formatCode="0.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515392"/>
        <c:crosses val="autoZero"/>
        <c:crossBetween val="midCat"/>
      </c:valAx>
      <c:valAx>
        <c:axId val="1635153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Residuals</a:t>
                </a:r>
              </a:p>
            </c:rich>
          </c:tx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513088"/>
        <c:crosses val="autoZero"/>
        <c:crossBetween val="midCat"/>
      </c:valAx>
    </c:plotArea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Unemployment  Residual Plot</a:t>
            </a:r>
          </a:p>
        </c:rich>
      </c:tx>
      <c:layout>
        <c:manualLayout>
          <c:xMode val="edge"/>
          <c:yMode val="edge"/>
          <c:x val="0.1640625"/>
          <c:y val="4.6242774566473986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Sheet9!$D$2:$D$17</c:f>
              <c:numCache>
                <c:formatCode>0.0</c:formatCode>
                <c:ptCount val="16"/>
                <c:pt idx="0">
                  <c:v>2356</c:v>
                </c:pt>
                <c:pt idx="1">
                  <c:v>2325</c:v>
                </c:pt>
                <c:pt idx="2">
                  <c:v>3682</c:v>
                </c:pt>
                <c:pt idx="3">
                  <c:v>3351</c:v>
                </c:pt>
                <c:pt idx="4">
                  <c:v>2099</c:v>
                </c:pt>
                <c:pt idx="5">
                  <c:v>1932</c:v>
                </c:pt>
                <c:pt idx="6">
                  <c:v>1870</c:v>
                </c:pt>
                <c:pt idx="7">
                  <c:v>3578</c:v>
                </c:pt>
                <c:pt idx="8">
                  <c:v>2904</c:v>
                </c:pt>
                <c:pt idx="9">
                  <c:v>2822</c:v>
                </c:pt>
                <c:pt idx="10">
                  <c:v>2936</c:v>
                </c:pt>
                <c:pt idx="11">
                  <c:v>4681</c:v>
                </c:pt>
                <c:pt idx="12">
                  <c:v>3813</c:v>
                </c:pt>
                <c:pt idx="13">
                  <c:v>3931</c:v>
                </c:pt>
                <c:pt idx="14">
                  <c:v>4806</c:v>
                </c:pt>
                <c:pt idx="15">
                  <c:v>4007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3657984"/>
        <c:axId val="165569280"/>
      </c:scatterChart>
      <c:valAx>
        <c:axId val="1636579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Unemployment</a:t>
                </a:r>
              </a:p>
            </c:rich>
          </c:tx>
        </c:title>
        <c:numFmt formatCode="0.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569280"/>
        <c:crosses val="autoZero"/>
        <c:crossBetween val="midCat"/>
      </c:valAx>
      <c:valAx>
        <c:axId val="1655692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Residuals</a:t>
                </a:r>
              </a:p>
            </c:rich>
          </c:tx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657984"/>
        <c:crosses val="autoZero"/>
        <c:crossBetween val="midCat"/>
      </c:valAx>
    </c:plotArea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Military Employment  Residual Plot</a:t>
            </a:r>
          </a:p>
        </c:rich>
      </c:tx>
      <c:layout>
        <c:manualLayout>
          <c:xMode val="edge"/>
          <c:yMode val="edge"/>
          <c:x val="0.21614583333333334"/>
          <c:y val="4.5977011494252873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Sheet9!$E$2:$E$17</c:f>
              <c:numCache>
                <c:formatCode>0.0</c:formatCode>
                <c:ptCount val="16"/>
                <c:pt idx="0">
                  <c:v>1590</c:v>
                </c:pt>
                <c:pt idx="1">
                  <c:v>1456</c:v>
                </c:pt>
                <c:pt idx="2">
                  <c:v>1616</c:v>
                </c:pt>
                <c:pt idx="3">
                  <c:v>1650</c:v>
                </c:pt>
                <c:pt idx="4">
                  <c:v>3099</c:v>
                </c:pt>
                <c:pt idx="5">
                  <c:v>3594</c:v>
                </c:pt>
                <c:pt idx="6">
                  <c:v>3547</c:v>
                </c:pt>
                <c:pt idx="7">
                  <c:v>3350</c:v>
                </c:pt>
                <c:pt idx="8">
                  <c:v>3048</c:v>
                </c:pt>
                <c:pt idx="9">
                  <c:v>2857</c:v>
                </c:pt>
                <c:pt idx="10">
                  <c:v>2798</c:v>
                </c:pt>
                <c:pt idx="11">
                  <c:v>2637</c:v>
                </c:pt>
                <c:pt idx="12">
                  <c:v>2552</c:v>
                </c:pt>
                <c:pt idx="13">
                  <c:v>2514</c:v>
                </c:pt>
                <c:pt idx="14">
                  <c:v>2572</c:v>
                </c:pt>
                <c:pt idx="15">
                  <c:v>2827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5588992"/>
        <c:axId val="165591296"/>
      </c:scatterChart>
      <c:valAx>
        <c:axId val="165588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Military Employment</a:t>
                </a:r>
              </a:p>
            </c:rich>
          </c:tx>
        </c:title>
        <c:numFmt formatCode="0.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591296"/>
        <c:crosses val="autoZero"/>
        <c:crossBetween val="midCat"/>
      </c:valAx>
      <c:valAx>
        <c:axId val="16559129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Residuals</a:t>
                </a:r>
              </a:p>
            </c:rich>
          </c:tx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588992"/>
        <c:crosses val="autoZero"/>
        <c:crossBetween val="midCat"/>
      </c:valAx>
    </c:plotArea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Population  Residual Plot</a:t>
            </a:r>
          </a:p>
        </c:rich>
      </c:tx>
      <c:layout>
        <c:manualLayout>
          <c:xMode val="edge"/>
          <c:yMode val="edge"/>
          <c:x val="0.16666666666666666"/>
          <c:y val="4.6242774566473986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Sheet9!$F$2:$F$17</c:f>
              <c:numCache>
                <c:formatCode>0.0</c:formatCode>
                <c:ptCount val="16"/>
                <c:pt idx="0">
                  <c:v>107608</c:v>
                </c:pt>
                <c:pt idx="1">
                  <c:v>108632</c:v>
                </c:pt>
                <c:pt idx="2">
                  <c:v>109773</c:v>
                </c:pt>
                <c:pt idx="3">
                  <c:v>110929</c:v>
                </c:pt>
                <c:pt idx="4">
                  <c:v>112075</c:v>
                </c:pt>
                <c:pt idx="5">
                  <c:v>113270</c:v>
                </c:pt>
                <c:pt idx="6">
                  <c:v>115094</c:v>
                </c:pt>
                <c:pt idx="7">
                  <c:v>116219</c:v>
                </c:pt>
                <c:pt idx="8">
                  <c:v>117388</c:v>
                </c:pt>
                <c:pt idx="9">
                  <c:v>118734</c:v>
                </c:pt>
                <c:pt idx="10">
                  <c:v>120445</c:v>
                </c:pt>
                <c:pt idx="11">
                  <c:v>121950</c:v>
                </c:pt>
                <c:pt idx="12">
                  <c:v>123366</c:v>
                </c:pt>
                <c:pt idx="13">
                  <c:v>125368</c:v>
                </c:pt>
                <c:pt idx="14">
                  <c:v>127852</c:v>
                </c:pt>
                <c:pt idx="15">
                  <c:v>130081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3186176"/>
        <c:axId val="163188736"/>
      </c:scatterChart>
      <c:valAx>
        <c:axId val="1631861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Population</a:t>
                </a:r>
              </a:p>
            </c:rich>
          </c:tx>
        </c:title>
        <c:numFmt formatCode="0.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188736"/>
        <c:crosses val="autoZero"/>
        <c:crossBetween val="midCat"/>
      </c:valAx>
      <c:valAx>
        <c:axId val="1631887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Residuals</a:t>
                </a:r>
              </a:p>
            </c:rich>
          </c:tx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186176"/>
        <c:crosses val="autoZero"/>
        <c:crossBetween val="midCat"/>
      </c:valAx>
    </c:plotArea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Year-Time  Residual Plot</a:t>
            </a:r>
          </a:p>
        </c:rich>
      </c:tx>
      <c:layout>
        <c:manualLayout>
          <c:xMode val="edge"/>
          <c:yMode val="edge"/>
          <c:x val="0.17708333333333334"/>
          <c:y val="4.6511627906976744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Sheet9!$G$2:$G$17</c:f>
              <c:numCache>
                <c:formatCode>0.0</c:formatCode>
                <c:ptCount val="16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3208192"/>
        <c:axId val="163210752"/>
      </c:scatterChart>
      <c:valAx>
        <c:axId val="1632081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Year-Time</a:t>
                </a:r>
              </a:p>
            </c:rich>
          </c:tx>
        </c:title>
        <c:numFmt formatCode="0.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210752"/>
        <c:crosses val="autoZero"/>
        <c:crossBetween val="midCat"/>
      </c:valAx>
      <c:valAx>
        <c:axId val="1632107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Residuals</a:t>
                </a:r>
              </a:p>
            </c:rich>
          </c:tx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208192"/>
        <c:crosses val="autoZero"/>
        <c:crossBetween val="midCat"/>
      </c:valAx>
    </c:plotArea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GNP Deflator Line Fit  Plot</a:t>
            </a:r>
          </a:p>
        </c:rich>
      </c:tx>
      <c:layout>
        <c:manualLayout>
          <c:xMode val="edge"/>
          <c:yMode val="edge"/>
          <c:x val="0.15625"/>
          <c:y val="4.6511627906976744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3319808"/>
        <c:axId val="163321728"/>
      </c:barChart>
      <c:catAx>
        <c:axId val="163319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GNP Deflator</a:t>
                </a:r>
              </a:p>
            </c:rich>
          </c:tx>
        </c:title>
        <c:numFmt formatCode="0.00" sourceLinked="1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321728"/>
        <c:crosses val="autoZero"/>
        <c:auto val="1"/>
        <c:lblAlgn val="ctr"/>
        <c:lblOffset val="100"/>
      </c:catAx>
      <c:valAx>
        <c:axId val="16332172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Response</a:t>
                </a:r>
              </a:p>
            </c:rich>
          </c:tx>
        </c:title>
        <c:numFmt formatCode="0.0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319808"/>
        <c:crosses val="autoZero"/>
        <c:crossBetween val="between"/>
      </c:valAx>
    </c:plotArea>
    <c:legend>
      <c:legendPos val="r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Gross National Product Line Fit  Plot</a:t>
            </a:r>
          </a:p>
        </c:rich>
      </c:tx>
      <c:layout>
        <c:manualLayout>
          <c:xMode val="edge"/>
          <c:yMode val="edge"/>
          <c:x val="0.13020833333333334"/>
          <c:y val="4.6511627906976744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Sheet9!$C$2:$C$17</c:f>
              <c:numCache>
                <c:formatCode>0.0</c:formatCode>
                <c:ptCount val="16"/>
                <c:pt idx="0">
                  <c:v>234289</c:v>
                </c:pt>
                <c:pt idx="1">
                  <c:v>259426</c:v>
                </c:pt>
                <c:pt idx="2">
                  <c:v>258054</c:v>
                </c:pt>
                <c:pt idx="3">
                  <c:v>284599</c:v>
                </c:pt>
                <c:pt idx="4">
                  <c:v>328975</c:v>
                </c:pt>
                <c:pt idx="5">
                  <c:v>346999</c:v>
                </c:pt>
                <c:pt idx="6">
                  <c:v>365385</c:v>
                </c:pt>
                <c:pt idx="7">
                  <c:v>363112</c:v>
                </c:pt>
                <c:pt idx="8">
                  <c:v>397469</c:v>
                </c:pt>
                <c:pt idx="9">
                  <c:v>419180</c:v>
                </c:pt>
                <c:pt idx="10">
                  <c:v>442769</c:v>
                </c:pt>
                <c:pt idx="11">
                  <c:v>444546</c:v>
                </c:pt>
                <c:pt idx="12">
                  <c:v>482704</c:v>
                </c:pt>
                <c:pt idx="13">
                  <c:v>502601</c:v>
                </c:pt>
                <c:pt idx="14">
                  <c:v>518173</c:v>
                </c:pt>
                <c:pt idx="15">
                  <c:v>554894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Sheet9!$C$2:$C$17</c:f>
              <c:numCache>
                <c:formatCode>0.0</c:formatCode>
                <c:ptCount val="16"/>
                <c:pt idx="0">
                  <c:v>234289</c:v>
                </c:pt>
                <c:pt idx="1">
                  <c:v>259426</c:v>
                </c:pt>
                <c:pt idx="2">
                  <c:v>258054</c:v>
                </c:pt>
                <c:pt idx="3">
                  <c:v>284599</c:v>
                </c:pt>
                <c:pt idx="4">
                  <c:v>328975</c:v>
                </c:pt>
                <c:pt idx="5">
                  <c:v>346999</c:v>
                </c:pt>
                <c:pt idx="6">
                  <c:v>365385</c:v>
                </c:pt>
                <c:pt idx="7">
                  <c:v>363112</c:v>
                </c:pt>
                <c:pt idx="8">
                  <c:v>397469</c:v>
                </c:pt>
                <c:pt idx="9">
                  <c:v>419180</c:v>
                </c:pt>
                <c:pt idx="10">
                  <c:v>442769</c:v>
                </c:pt>
                <c:pt idx="11">
                  <c:v>444546</c:v>
                </c:pt>
                <c:pt idx="12">
                  <c:v>482704</c:v>
                </c:pt>
                <c:pt idx="13">
                  <c:v>502601</c:v>
                </c:pt>
                <c:pt idx="14">
                  <c:v>518173</c:v>
                </c:pt>
                <c:pt idx="15">
                  <c:v>554894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3346688"/>
        <c:axId val="163357056"/>
      </c:barChart>
      <c:catAx>
        <c:axId val="1633466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Gross National Product</a:t>
                </a:r>
              </a:p>
            </c:rich>
          </c:tx>
        </c:title>
        <c:numFmt formatCode="0.0" sourceLinked="1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357056"/>
        <c:crosses val="autoZero"/>
        <c:auto val="1"/>
        <c:lblAlgn val="ctr"/>
        <c:lblOffset val="100"/>
      </c:catAx>
      <c:valAx>
        <c:axId val="1633570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Response</a:t>
                </a:r>
              </a:p>
            </c:rich>
          </c:tx>
        </c:title>
        <c:numFmt formatCode="0.0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346688"/>
        <c:crosses val="autoZero"/>
        <c:crossBetween val="between"/>
      </c:valAx>
    </c:plotArea>
    <c:legend>
      <c:legendPos val="r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Unemployment Line Fit  Plot</a:t>
            </a:r>
          </a:p>
        </c:rich>
      </c:tx>
      <c:layout>
        <c:manualLayout>
          <c:xMode val="edge"/>
          <c:yMode val="edge"/>
          <c:x val="0.125"/>
          <c:y val="4.6783625730994149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Sheet9!$D$2:$D$17</c:f>
              <c:numCache>
                <c:formatCode>0.0</c:formatCode>
                <c:ptCount val="16"/>
                <c:pt idx="0">
                  <c:v>2356</c:v>
                </c:pt>
                <c:pt idx="1">
                  <c:v>2325</c:v>
                </c:pt>
                <c:pt idx="2">
                  <c:v>3682</c:v>
                </c:pt>
                <c:pt idx="3">
                  <c:v>3351</c:v>
                </c:pt>
                <c:pt idx="4">
                  <c:v>2099</c:v>
                </c:pt>
                <c:pt idx="5">
                  <c:v>1932</c:v>
                </c:pt>
                <c:pt idx="6">
                  <c:v>1870</c:v>
                </c:pt>
                <c:pt idx="7">
                  <c:v>3578</c:v>
                </c:pt>
                <c:pt idx="8">
                  <c:v>2904</c:v>
                </c:pt>
                <c:pt idx="9">
                  <c:v>2822</c:v>
                </c:pt>
                <c:pt idx="10">
                  <c:v>2936</c:v>
                </c:pt>
                <c:pt idx="11">
                  <c:v>4681</c:v>
                </c:pt>
                <c:pt idx="12">
                  <c:v>3813</c:v>
                </c:pt>
                <c:pt idx="13">
                  <c:v>3931</c:v>
                </c:pt>
                <c:pt idx="14">
                  <c:v>4806</c:v>
                </c:pt>
                <c:pt idx="15">
                  <c:v>4007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Sheet9!$D$2:$D$17</c:f>
              <c:numCache>
                <c:formatCode>0.0</c:formatCode>
                <c:ptCount val="16"/>
                <c:pt idx="0">
                  <c:v>2356</c:v>
                </c:pt>
                <c:pt idx="1">
                  <c:v>2325</c:v>
                </c:pt>
                <c:pt idx="2">
                  <c:v>3682</c:v>
                </c:pt>
                <c:pt idx="3">
                  <c:v>3351</c:v>
                </c:pt>
                <c:pt idx="4">
                  <c:v>2099</c:v>
                </c:pt>
                <c:pt idx="5">
                  <c:v>1932</c:v>
                </c:pt>
                <c:pt idx="6">
                  <c:v>1870</c:v>
                </c:pt>
                <c:pt idx="7">
                  <c:v>3578</c:v>
                </c:pt>
                <c:pt idx="8">
                  <c:v>2904</c:v>
                </c:pt>
                <c:pt idx="9">
                  <c:v>2822</c:v>
                </c:pt>
                <c:pt idx="10">
                  <c:v>2936</c:v>
                </c:pt>
                <c:pt idx="11">
                  <c:v>4681</c:v>
                </c:pt>
                <c:pt idx="12">
                  <c:v>3813</c:v>
                </c:pt>
                <c:pt idx="13">
                  <c:v>3931</c:v>
                </c:pt>
                <c:pt idx="14">
                  <c:v>4806</c:v>
                </c:pt>
                <c:pt idx="15">
                  <c:v>4007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3468416"/>
        <c:axId val="163470336"/>
      </c:barChart>
      <c:catAx>
        <c:axId val="163468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Unemployment</a:t>
                </a:r>
              </a:p>
            </c:rich>
          </c:tx>
        </c:title>
        <c:numFmt formatCode="0.0" sourceLinked="1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470336"/>
        <c:crosses val="autoZero"/>
        <c:auto val="1"/>
        <c:lblAlgn val="ctr"/>
        <c:lblOffset val="100"/>
      </c:catAx>
      <c:valAx>
        <c:axId val="1634703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Response</a:t>
                </a:r>
              </a:p>
            </c:rich>
          </c:tx>
        </c:title>
        <c:numFmt formatCode="0.0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468416"/>
        <c:crosses val="autoZero"/>
        <c:crossBetween val="between"/>
      </c:valAx>
    </c:plotArea>
    <c:legend>
      <c:legendPos val="r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Military Employment Line Fit  Plot</a:t>
            </a:r>
          </a:p>
        </c:rich>
      </c:tx>
      <c:layout>
        <c:manualLayout>
          <c:xMode val="edge"/>
          <c:yMode val="edge"/>
          <c:x val="0.1171875"/>
          <c:y val="4.6511627906976744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Sheet9!$E$2:$E$17</c:f>
              <c:numCache>
                <c:formatCode>0.0</c:formatCode>
                <c:ptCount val="16"/>
                <c:pt idx="0">
                  <c:v>1590</c:v>
                </c:pt>
                <c:pt idx="1">
                  <c:v>1456</c:v>
                </c:pt>
                <c:pt idx="2">
                  <c:v>1616</c:v>
                </c:pt>
                <c:pt idx="3">
                  <c:v>1650</c:v>
                </c:pt>
                <c:pt idx="4">
                  <c:v>3099</c:v>
                </c:pt>
                <c:pt idx="5">
                  <c:v>3594</c:v>
                </c:pt>
                <c:pt idx="6">
                  <c:v>3547</c:v>
                </c:pt>
                <c:pt idx="7">
                  <c:v>3350</c:v>
                </c:pt>
                <c:pt idx="8">
                  <c:v>3048</c:v>
                </c:pt>
                <c:pt idx="9">
                  <c:v>2857</c:v>
                </c:pt>
                <c:pt idx="10">
                  <c:v>2798</c:v>
                </c:pt>
                <c:pt idx="11">
                  <c:v>2637</c:v>
                </c:pt>
                <c:pt idx="12">
                  <c:v>2552</c:v>
                </c:pt>
                <c:pt idx="13">
                  <c:v>2514</c:v>
                </c:pt>
                <c:pt idx="14">
                  <c:v>2572</c:v>
                </c:pt>
                <c:pt idx="15">
                  <c:v>2827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Sheet9!$E$2:$E$17</c:f>
              <c:numCache>
                <c:formatCode>0.0</c:formatCode>
                <c:ptCount val="16"/>
                <c:pt idx="0">
                  <c:v>1590</c:v>
                </c:pt>
                <c:pt idx="1">
                  <c:v>1456</c:v>
                </c:pt>
                <c:pt idx="2">
                  <c:v>1616</c:v>
                </c:pt>
                <c:pt idx="3">
                  <c:v>1650</c:v>
                </c:pt>
                <c:pt idx="4">
                  <c:v>3099</c:v>
                </c:pt>
                <c:pt idx="5">
                  <c:v>3594</c:v>
                </c:pt>
                <c:pt idx="6">
                  <c:v>3547</c:v>
                </c:pt>
                <c:pt idx="7">
                  <c:v>3350</c:v>
                </c:pt>
                <c:pt idx="8">
                  <c:v>3048</c:v>
                </c:pt>
                <c:pt idx="9">
                  <c:v>2857</c:v>
                </c:pt>
                <c:pt idx="10">
                  <c:v>2798</c:v>
                </c:pt>
                <c:pt idx="11">
                  <c:v>2637</c:v>
                </c:pt>
                <c:pt idx="12">
                  <c:v>2552</c:v>
                </c:pt>
                <c:pt idx="13">
                  <c:v>2514</c:v>
                </c:pt>
                <c:pt idx="14">
                  <c:v>2572</c:v>
                </c:pt>
                <c:pt idx="15">
                  <c:v>2827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3577856"/>
        <c:axId val="163579776"/>
      </c:barChart>
      <c:catAx>
        <c:axId val="1635778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Military Employment</a:t>
                </a:r>
              </a:p>
            </c:rich>
          </c:tx>
        </c:title>
        <c:numFmt formatCode="0.0" sourceLinked="1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579776"/>
        <c:crosses val="autoZero"/>
        <c:auto val="1"/>
        <c:lblAlgn val="ctr"/>
        <c:lblOffset val="100"/>
      </c:catAx>
      <c:valAx>
        <c:axId val="1635797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Response</a:t>
                </a:r>
              </a:p>
            </c:rich>
          </c:tx>
        </c:title>
        <c:numFmt formatCode="0.0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577856"/>
        <c:crosses val="autoZero"/>
        <c:crossBetween val="between"/>
      </c:valAx>
    </c:plotArea>
    <c:legend>
      <c:legendPos val="r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Population Line Fit  Plot</a:t>
            </a:r>
          </a:p>
        </c:rich>
      </c:tx>
      <c:layout>
        <c:manualLayout>
          <c:xMode val="edge"/>
          <c:yMode val="edge"/>
          <c:x val="0.18489583333333334"/>
          <c:y val="4.6511627906976744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Sheet9!$F$2:$F$17</c:f>
              <c:numCache>
                <c:formatCode>0.0</c:formatCode>
                <c:ptCount val="16"/>
                <c:pt idx="0">
                  <c:v>107608</c:v>
                </c:pt>
                <c:pt idx="1">
                  <c:v>108632</c:v>
                </c:pt>
                <c:pt idx="2">
                  <c:v>109773</c:v>
                </c:pt>
                <c:pt idx="3">
                  <c:v>110929</c:v>
                </c:pt>
                <c:pt idx="4">
                  <c:v>112075</c:v>
                </c:pt>
                <c:pt idx="5">
                  <c:v>113270</c:v>
                </c:pt>
                <c:pt idx="6">
                  <c:v>115094</c:v>
                </c:pt>
                <c:pt idx="7">
                  <c:v>116219</c:v>
                </c:pt>
                <c:pt idx="8">
                  <c:v>117388</c:v>
                </c:pt>
                <c:pt idx="9">
                  <c:v>118734</c:v>
                </c:pt>
                <c:pt idx="10">
                  <c:v>120445</c:v>
                </c:pt>
                <c:pt idx="11">
                  <c:v>121950</c:v>
                </c:pt>
                <c:pt idx="12">
                  <c:v>123366</c:v>
                </c:pt>
                <c:pt idx="13">
                  <c:v>125368</c:v>
                </c:pt>
                <c:pt idx="14">
                  <c:v>127852</c:v>
                </c:pt>
                <c:pt idx="15">
                  <c:v>130081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Sheet9!$F$2:$F$17</c:f>
              <c:numCache>
                <c:formatCode>0.0</c:formatCode>
                <c:ptCount val="16"/>
                <c:pt idx="0">
                  <c:v>107608</c:v>
                </c:pt>
                <c:pt idx="1">
                  <c:v>108632</c:v>
                </c:pt>
                <c:pt idx="2">
                  <c:v>109773</c:v>
                </c:pt>
                <c:pt idx="3">
                  <c:v>110929</c:v>
                </c:pt>
                <c:pt idx="4">
                  <c:v>112075</c:v>
                </c:pt>
                <c:pt idx="5">
                  <c:v>113270</c:v>
                </c:pt>
                <c:pt idx="6">
                  <c:v>115094</c:v>
                </c:pt>
                <c:pt idx="7">
                  <c:v>116219</c:v>
                </c:pt>
                <c:pt idx="8">
                  <c:v>117388</c:v>
                </c:pt>
                <c:pt idx="9">
                  <c:v>118734</c:v>
                </c:pt>
                <c:pt idx="10">
                  <c:v>120445</c:v>
                </c:pt>
                <c:pt idx="11">
                  <c:v>121950</c:v>
                </c:pt>
                <c:pt idx="12">
                  <c:v>123366</c:v>
                </c:pt>
                <c:pt idx="13">
                  <c:v>125368</c:v>
                </c:pt>
                <c:pt idx="14">
                  <c:v>127852</c:v>
                </c:pt>
                <c:pt idx="15">
                  <c:v>130081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3613312"/>
        <c:axId val="163623680"/>
      </c:barChart>
      <c:catAx>
        <c:axId val="1636133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Population</a:t>
                </a:r>
              </a:p>
            </c:rich>
          </c:tx>
        </c:title>
        <c:numFmt formatCode="0.0" sourceLinked="1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623680"/>
        <c:crosses val="autoZero"/>
        <c:auto val="1"/>
        <c:lblAlgn val="ctr"/>
        <c:lblOffset val="100"/>
      </c:catAx>
      <c:valAx>
        <c:axId val="1636236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Response</a:t>
                </a:r>
              </a:p>
            </c:rich>
          </c:tx>
        </c:title>
        <c:numFmt formatCode="0.0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613312"/>
        <c:crosses val="autoZero"/>
        <c:crossBetween val="between"/>
      </c:valAx>
    </c:plotArea>
    <c:legend>
      <c:legendPos val="r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Year-Time Line Fit  Plot</a:t>
            </a:r>
          </a:p>
        </c:rich>
      </c:tx>
      <c:layout>
        <c:manualLayout>
          <c:xMode val="edge"/>
          <c:yMode val="edge"/>
          <c:x val="0.1953125"/>
          <c:y val="4.6511627906976744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Sheet9!$G$2:$G$17</c:f>
              <c:numCache>
                <c:formatCode>0.0</c:formatCode>
                <c:ptCount val="16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Sheet9!$G$2:$G$17</c:f>
              <c:numCache>
                <c:formatCode>0.0</c:formatCode>
                <c:ptCount val="16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5688832"/>
        <c:axId val="165690752"/>
      </c:barChart>
      <c:catAx>
        <c:axId val="1656888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Year-Time</a:t>
                </a:r>
              </a:p>
            </c:rich>
          </c:tx>
        </c:title>
        <c:numFmt formatCode="0.0" sourceLinked="1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690752"/>
        <c:crosses val="autoZero"/>
        <c:auto val="1"/>
        <c:lblAlgn val="ctr"/>
        <c:lblOffset val="100"/>
      </c:catAx>
      <c:valAx>
        <c:axId val="1656907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Response</a:t>
                </a:r>
              </a:p>
            </c:rich>
          </c:tx>
        </c:title>
        <c:numFmt formatCode="0.0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688832"/>
        <c:crosses val="autoZero"/>
        <c:crossBetween val="between"/>
      </c:valAx>
    </c:plotArea>
    <c:legend>
      <c:legendPos val="r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>Normal Probability Plot</a:t>
            </a:r>
          </a:p>
        </c:rich>
      </c:tx>
      <c:layout>
        <c:manualLayout>
          <c:xMode val="edge"/>
          <c:yMode val="edge"/>
          <c:x val="0.18489583333333334"/>
          <c:y val="4.6783625730994149E-2"/>
        </c:manualLayout>
      </c:layout>
    </c:title>
    <c:plotArea>
      <c:layout/>
      <c:barChart>
        <c:barDir val="col"/>
        <c:grouping val="clustered"/>
        <c:ser>
          <c:idx val="0"/>
          <c:order val="0"/>
          <c:cat>
            <c:numRef>
              <c:f>Sheet9!$P$30:$P$45</c:f>
              <c:numCache>
                <c:formatCode>General</c:formatCode>
                <c:ptCount val="16"/>
                <c:pt idx="0">
                  <c:v>3.125</c:v>
                </c:pt>
                <c:pt idx="1">
                  <c:v>9.375</c:v>
                </c:pt>
                <c:pt idx="2">
                  <c:v>15.625</c:v>
                </c:pt>
                <c:pt idx="3">
                  <c:v>21.875</c:v>
                </c:pt>
                <c:pt idx="4">
                  <c:v>28.125</c:v>
                </c:pt>
                <c:pt idx="5">
                  <c:v>34.375</c:v>
                </c:pt>
                <c:pt idx="6">
                  <c:v>40.625</c:v>
                </c:pt>
                <c:pt idx="7">
                  <c:v>46.875</c:v>
                </c:pt>
                <c:pt idx="8">
                  <c:v>53.125</c:v>
                </c:pt>
                <c:pt idx="9">
                  <c:v>59.375</c:v>
                </c:pt>
                <c:pt idx="10">
                  <c:v>65.625</c:v>
                </c:pt>
                <c:pt idx="11">
                  <c:v>71.875</c:v>
                </c:pt>
                <c:pt idx="12">
                  <c:v>78.125</c:v>
                </c:pt>
                <c:pt idx="13">
                  <c:v>84.375</c:v>
                </c:pt>
                <c:pt idx="14">
                  <c:v>90.625</c:v>
                </c:pt>
                <c:pt idx="15">
                  <c:v>96.875</c:v>
                </c:pt>
              </c:numCache>
            </c:numRef>
          </c:cat>
          <c:val>
            <c:numRef>
              <c:f>Sheet9!$Q$30:$Q$45</c:f>
              <c:numCache>
                <c:formatCode>General</c:formatCode>
                <c:ptCount val="16"/>
                <c:pt idx="0">
                  <c:v>60171</c:v>
                </c:pt>
                <c:pt idx="1">
                  <c:v>60323</c:v>
                </c:pt>
                <c:pt idx="2">
                  <c:v>61122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63761</c:v>
                </c:pt>
                <c:pt idx="7">
                  <c:v>64989</c:v>
                </c:pt>
                <c:pt idx="8">
                  <c:v>66019</c:v>
                </c:pt>
                <c:pt idx="9">
                  <c:v>66513</c:v>
                </c:pt>
                <c:pt idx="10">
                  <c:v>67857</c:v>
                </c:pt>
                <c:pt idx="11">
                  <c:v>68169</c:v>
                </c:pt>
                <c:pt idx="12">
                  <c:v>68655</c:v>
                </c:pt>
                <c:pt idx="13">
                  <c:v>69331</c:v>
                </c:pt>
                <c:pt idx="14">
                  <c:v>69564</c:v>
                </c:pt>
                <c:pt idx="15">
                  <c:v>70551</c:v>
                </c:pt>
              </c:numCache>
            </c:numRef>
          </c:val>
        </c:ser>
        <c:axId val="165711232"/>
        <c:axId val="165725696"/>
      </c:barChart>
      <c:catAx>
        <c:axId val="1657112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Sample Percentile</a:t>
                </a:r>
              </a:p>
            </c:rich>
          </c:tx>
        </c:title>
        <c:numFmt formatCode="General" sourceLinked="1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725696"/>
        <c:crosses val="autoZero"/>
        <c:auto val="1"/>
        <c:lblAlgn val="ctr"/>
        <c:lblOffset val="100"/>
      </c:catAx>
      <c:valAx>
        <c:axId val="1657256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t>Response</a:t>
                </a:r>
              </a:p>
            </c:rich>
          </c:tx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711232"/>
        <c:crosses val="autoZero"/>
        <c:crossBetween val="between"/>
      </c:valAx>
    </c:plotArea>
    <c:legend>
      <c:legendPos val="r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GNP Deflator  Residual Plot</a:t>
            </a:r>
          </a:p>
        </c:rich>
      </c:tx>
      <c:layout>
        <c:manualLayout>
          <c:xMode val="edge"/>
          <c:yMode val="edge"/>
          <c:x val="0.13802083333333334"/>
          <c:y val="4.3478260869565216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5774464"/>
        <c:axId val="165776768"/>
      </c:scatterChart>
      <c:valAx>
        <c:axId val="165774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GNP Deflator</a:t>
                </a:r>
              </a:p>
            </c:rich>
          </c:tx>
        </c:title>
        <c:numFmt formatCode="0.0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776768"/>
        <c:crosses val="autoZero"/>
        <c:crossBetween val="midCat"/>
      </c:valAx>
      <c:valAx>
        <c:axId val="16577676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</c:title>
        <c:numFmt formatCode="General" sourceLinked="1"/>
        <c:tickLblPos val="nextTo"/>
        <c:crossAx val="165774464"/>
        <c:crosses val="autoZero"/>
        <c:crossBetween val="midCat"/>
      </c:valAx>
    </c:plotArea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Gross National Product  Residual Plot</a:t>
            </a:r>
          </a:p>
        </c:rich>
      </c:tx>
      <c:layout>
        <c:manualLayout>
          <c:xMode val="edge"/>
          <c:yMode val="edge"/>
          <c:x val="0.19010416666666666"/>
          <c:y val="4.6511627906976744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Sheet9!$C$2:$C$17</c:f>
              <c:numCache>
                <c:formatCode>0.0</c:formatCode>
                <c:ptCount val="16"/>
                <c:pt idx="0">
                  <c:v>234289</c:v>
                </c:pt>
                <c:pt idx="1">
                  <c:v>259426</c:v>
                </c:pt>
                <c:pt idx="2">
                  <c:v>258054</c:v>
                </c:pt>
                <c:pt idx="3">
                  <c:v>284599</c:v>
                </c:pt>
                <c:pt idx="4">
                  <c:v>328975</c:v>
                </c:pt>
                <c:pt idx="5">
                  <c:v>346999</c:v>
                </c:pt>
                <c:pt idx="6">
                  <c:v>365385</c:v>
                </c:pt>
                <c:pt idx="7">
                  <c:v>363112</c:v>
                </c:pt>
                <c:pt idx="8">
                  <c:v>397469</c:v>
                </c:pt>
                <c:pt idx="9">
                  <c:v>419180</c:v>
                </c:pt>
                <c:pt idx="10">
                  <c:v>442769</c:v>
                </c:pt>
                <c:pt idx="11">
                  <c:v>444546</c:v>
                </c:pt>
                <c:pt idx="12">
                  <c:v>482704</c:v>
                </c:pt>
                <c:pt idx="13">
                  <c:v>502601</c:v>
                </c:pt>
                <c:pt idx="14">
                  <c:v>518173</c:v>
                </c:pt>
                <c:pt idx="15">
                  <c:v>554894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5804672"/>
        <c:axId val="165807232"/>
      </c:scatterChart>
      <c:valAx>
        <c:axId val="165804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Gross National Product</a:t>
                </a:r>
              </a:p>
            </c:rich>
          </c:tx>
        </c:title>
        <c:numFmt formatCode="0.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807232"/>
        <c:crosses val="autoZero"/>
        <c:crossBetween val="midCat"/>
      </c:valAx>
      <c:valAx>
        <c:axId val="1658072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</c:title>
        <c:numFmt formatCode="General" sourceLinked="1"/>
        <c:tickLblPos val="nextTo"/>
        <c:crossAx val="165804672"/>
        <c:crosses val="autoZero"/>
        <c:crossBetween val="midCat"/>
      </c:valAx>
    </c:plotArea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Unemployment  Residual Plot</a:t>
            </a:r>
          </a:p>
        </c:rich>
      </c:tx>
      <c:layout>
        <c:manualLayout>
          <c:xMode val="edge"/>
          <c:yMode val="edge"/>
          <c:x val="0.1640625"/>
          <c:y val="4.6242774566473986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Sheet9!$D$2:$D$17</c:f>
              <c:numCache>
                <c:formatCode>0.0</c:formatCode>
                <c:ptCount val="16"/>
                <c:pt idx="0">
                  <c:v>2356</c:v>
                </c:pt>
                <c:pt idx="1">
                  <c:v>2325</c:v>
                </c:pt>
                <c:pt idx="2">
                  <c:v>3682</c:v>
                </c:pt>
                <c:pt idx="3">
                  <c:v>3351</c:v>
                </c:pt>
                <c:pt idx="4">
                  <c:v>2099</c:v>
                </c:pt>
                <c:pt idx="5">
                  <c:v>1932</c:v>
                </c:pt>
                <c:pt idx="6">
                  <c:v>1870</c:v>
                </c:pt>
                <c:pt idx="7">
                  <c:v>3578</c:v>
                </c:pt>
                <c:pt idx="8">
                  <c:v>2904</c:v>
                </c:pt>
                <c:pt idx="9">
                  <c:v>2822</c:v>
                </c:pt>
                <c:pt idx="10">
                  <c:v>2936</c:v>
                </c:pt>
                <c:pt idx="11">
                  <c:v>4681</c:v>
                </c:pt>
                <c:pt idx="12">
                  <c:v>3813</c:v>
                </c:pt>
                <c:pt idx="13">
                  <c:v>3931</c:v>
                </c:pt>
                <c:pt idx="14">
                  <c:v>4806</c:v>
                </c:pt>
                <c:pt idx="15">
                  <c:v>4007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5826560"/>
        <c:axId val="165828864"/>
      </c:scatterChart>
      <c:valAx>
        <c:axId val="1658265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Unemployment</a:t>
                </a:r>
              </a:p>
            </c:rich>
          </c:tx>
        </c:title>
        <c:numFmt formatCode="0.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828864"/>
        <c:crosses val="autoZero"/>
        <c:crossBetween val="midCat"/>
      </c:valAx>
      <c:valAx>
        <c:axId val="16582886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</c:title>
        <c:numFmt formatCode="General" sourceLinked="1"/>
        <c:tickLblPos val="nextTo"/>
        <c:crossAx val="165826560"/>
        <c:crosses val="autoZero"/>
        <c:crossBetween val="midCat"/>
      </c:valAx>
    </c:plotArea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Military Employment  Residual Plot</a:t>
            </a:r>
          </a:p>
        </c:rich>
      </c:tx>
      <c:layout>
        <c:manualLayout>
          <c:xMode val="edge"/>
          <c:yMode val="edge"/>
          <c:x val="0.21614583333333334"/>
          <c:y val="4.5977011494252873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Sheet9!$E$2:$E$17</c:f>
              <c:numCache>
                <c:formatCode>0.0</c:formatCode>
                <c:ptCount val="16"/>
                <c:pt idx="0">
                  <c:v>1590</c:v>
                </c:pt>
                <c:pt idx="1">
                  <c:v>1456</c:v>
                </c:pt>
                <c:pt idx="2">
                  <c:v>1616</c:v>
                </c:pt>
                <c:pt idx="3">
                  <c:v>1650</c:v>
                </c:pt>
                <c:pt idx="4">
                  <c:v>3099</c:v>
                </c:pt>
                <c:pt idx="5">
                  <c:v>3594</c:v>
                </c:pt>
                <c:pt idx="6">
                  <c:v>3547</c:v>
                </c:pt>
                <c:pt idx="7">
                  <c:v>3350</c:v>
                </c:pt>
                <c:pt idx="8">
                  <c:v>3048</c:v>
                </c:pt>
                <c:pt idx="9">
                  <c:v>2857</c:v>
                </c:pt>
                <c:pt idx="10">
                  <c:v>2798</c:v>
                </c:pt>
                <c:pt idx="11">
                  <c:v>2637</c:v>
                </c:pt>
                <c:pt idx="12">
                  <c:v>2552</c:v>
                </c:pt>
                <c:pt idx="13">
                  <c:v>2514</c:v>
                </c:pt>
                <c:pt idx="14">
                  <c:v>2572</c:v>
                </c:pt>
                <c:pt idx="15">
                  <c:v>2827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5869056"/>
        <c:axId val="165949440"/>
      </c:scatterChart>
      <c:valAx>
        <c:axId val="1658690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Military Employment</a:t>
                </a:r>
              </a:p>
            </c:rich>
          </c:tx>
        </c:title>
        <c:numFmt formatCode="0.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949440"/>
        <c:crosses val="autoZero"/>
        <c:crossBetween val="midCat"/>
      </c:valAx>
      <c:valAx>
        <c:axId val="16594944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</c:title>
        <c:numFmt formatCode="General" sourceLinked="1"/>
        <c:tickLblPos val="nextTo"/>
        <c:crossAx val="165869056"/>
        <c:crosses val="autoZero"/>
        <c:crossBetween val="midCat"/>
      </c:valAx>
    </c:plotArea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Population  Residual Plot</a:t>
            </a:r>
          </a:p>
        </c:rich>
      </c:tx>
      <c:layout>
        <c:manualLayout>
          <c:xMode val="edge"/>
          <c:yMode val="edge"/>
          <c:x val="0.16666666666666666"/>
          <c:y val="4.6242774566473986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Sheet9!$F$2:$F$17</c:f>
              <c:numCache>
                <c:formatCode>0.0</c:formatCode>
                <c:ptCount val="16"/>
                <c:pt idx="0">
                  <c:v>107608</c:v>
                </c:pt>
                <c:pt idx="1">
                  <c:v>108632</c:v>
                </c:pt>
                <c:pt idx="2">
                  <c:v>109773</c:v>
                </c:pt>
                <c:pt idx="3">
                  <c:v>110929</c:v>
                </c:pt>
                <c:pt idx="4">
                  <c:v>112075</c:v>
                </c:pt>
                <c:pt idx="5">
                  <c:v>113270</c:v>
                </c:pt>
                <c:pt idx="6">
                  <c:v>115094</c:v>
                </c:pt>
                <c:pt idx="7">
                  <c:v>116219</c:v>
                </c:pt>
                <c:pt idx="8">
                  <c:v>117388</c:v>
                </c:pt>
                <c:pt idx="9">
                  <c:v>118734</c:v>
                </c:pt>
                <c:pt idx="10">
                  <c:v>120445</c:v>
                </c:pt>
                <c:pt idx="11">
                  <c:v>121950</c:v>
                </c:pt>
                <c:pt idx="12">
                  <c:v>123366</c:v>
                </c:pt>
                <c:pt idx="13">
                  <c:v>125368</c:v>
                </c:pt>
                <c:pt idx="14">
                  <c:v>127852</c:v>
                </c:pt>
                <c:pt idx="15">
                  <c:v>130081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5960704"/>
        <c:axId val="165967360"/>
      </c:scatterChart>
      <c:valAx>
        <c:axId val="1659607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</c:title>
        <c:numFmt formatCode="0.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967360"/>
        <c:crosses val="autoZero"/>
        <c:crossBetween val="midCat"/>
      </c:valAx>
      <c:valAx>
        <c:axId val="1659673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</c:title>
        <c:numFmt formatCode="General" sourceLinked="1"/>
        <c:tickLblPos val="nextTo"/>
        <c:crossAx val="165960704"/>
        <c:crosses val="autoZero"/>
        <c:crossBetween val="midCat"/>
      </c:valAx>
    </c:plotArea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Year-Time  Residual Plot</a:t>
            </a:r>
          </a:p>
        </c:rich>
      </c:tx>
      <c:layout>
        <c:manualLayout>
          <c:xMode val="edge"/>
          <c:yMode val="edge"/>
          <c:x val="0.17708333333333334"/>
          <c:y val="4.6511627906976744E-2"/>
        </c:manualLayout>
      </c:layout>
    </c:title>
    <c:plotArea>
      <c:layout/>
      <c:scatterChart>
        <c:scatterStyle val="smoothMarker"/>
        <c:ser>
          <c:idx val="0"/>
          <c:order val="0"/>
          <c:spPr>
            <a:ln w="28575">
              <a:noFill/>
            </a:ln>
          </c:spPr>
          <c:xVal>
            <c:numRef>
              <c:f>Sheet9!$G$2:$G$17</c:f>
              <c:numCache>
                <c:formatCode>0.0</c:formatCode>
                <c:ptCount val="16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</c:numCache>
            </c:numRef>
          </c:xVal>
          <c:yVal>
            <c:numRef>
              <c:f>Sheet9!$M$30:$M$45</c:f>
              <c:numCache>
                <c:formatCode>General</c:formatCode>
                <c:ptCount val="16"/>
                <c:pt idx="0">
                  <c:v>267.34002976017655</c:v>
                </c:pt>
                <c:pt idx="1">
                  <c:v>-94.013942398611107</c:v>
                </c:pt>
                <c:pt idx="2">
                  <c:v>46.287167757800489</c:v>
                </c:pt>
                <c:pt idx="3">
                  <c:v>-410.11462193109764</c:v>
                </c:pt>
                <c:pt idx="4">
                  <c:v>309.71459076060273</c:v>
                </c:pt>
                <c:pt idx="5">
                  <c:v>-249.31121532918769</c:v>
                </c:pt>
                <c:pt idx="6">
                  <c:v>-164.04895639572351</c:v>
                </c:pt>
                <c:pt idx="7">
                  <c:v>-13.180356866279908</c:v>
                </c:pt>
                <c:pt idx="8">
                  <c:v>14.304772599600255</c:v>
                </c:pt>
                <c:pt idx="9">
                  <c:v>455.3940945519862</c:v>
                </c:pt>
                <c:pt idx="10">
                  <c:v>-17.268927114404505</c:v>
                </c:pt>
                <c:pt idx="11">
                  <c:v>-39.055042522741132</c:v>
                </c:pt>
                <c:pt idx="12">
                  <c:v>-155.54997359513072</c:v>
                </c:pt>
                <c:pt idx="13">
                  <c:v>-85.671308042132296</c:v>
                </c:pt>
                <c:pt idx="14">
                  <c:v>341.93151396136091</c:v>
                </c:pt>
                <c:pt idx="15">
                  <c:v>-206.75782519343193</c:v>
                </c:pt>
              </c:numCache>
            </c:numRef>
          </c:yVal>
        </c:ser>
        <c:axId val="165999360"/>
        <c:axId val="166001664"/>
      </c:scatterChart>
      <c:valAx>
        <c:axId val="165999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Year-Time</a:t>
                </a:r>
              </a:p>
            </c:rich>
          </c:tx>
        </c:title>
        <c:numFmt formatCode="0.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6001664"/>
        <c:crosses val="autoZero"/>
        <c:crossBetween val="midCat"/>
      </c:valAx>
      <c:valAx>
        <c:axId val="16600166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</c:title>
        <c:numFmt formatCode="General" sourceLinked="1"/>
        <c:tickLblPos val="nextTo"/>
        <c:crossAx val="165999360"/>
        <c:crosses val="autoZero"/>
        <c:crossBetween val="midCat"/>
      </c:valAx>
    </c:plotArea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GNP Deflator Line Fit  Plot</a:t>
            </a:r>
          </a:p>
        </c:rich>
      </c:tx>
      <c:layout>
        <c:manualLayout>
          <c:xMode val="edge"/>
          <c:yMode val="edge"/>
          <c:x val="0.15625"/>
          <c:y val="4.6511627906976744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6026624"/>
        <c:axId val="166032896"/>
      </c:barChart>
      <c:catAx>
        <c:axId val="1660266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GNP Deflator</a:t>
                </a:r>
              </a:p>
            </c:rich>
          </c:tx>
        </c:title>
        <c:numFmt formatCode="0.00" sourceLinked="1"/>
        <c:tickLblPos val="nextTo"/>
        <c:crossAx val="166032896"/>
        <c:crosses val="autoZero"/>
        <c:auto val="1"/>
        <c:lblAlgn val="ctr"/>
        <c:lblOffset val="100"/>
      </c:catAx>
      <c:valAx>
        <c:axId val="1660328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Response</a:t>
                </a:r>
              </a:p>
            </c:rich>
          </c:tx>
        </c:title>
        <c:numFmt formatCode="0.00" sourceLinked="1"/>
        <c:tickLblPos val="nextTo"/>
        <c:crossAx val="16602662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Gross National Product Line Fit  Plot</a:t>
            </a:r>
          </a:p>
        </c:rich>
      </c:tx>
      <c:layout>
        <c:manualLayout>
          <c:xMode val="edge"/>
          <c:yMode val="edge"/>
          <c:x val="0.13020833333333334"/>
          <c:y val="4.6511627906976744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Sheet9!$C$2:$C$17</c:f>
              <c:numCache>
                <c:formatCode>0.0</c:formatCode>
                <c:ptCount val="16"/>
                <c:pt idx="0">
                  <c:v>234289</c:v>
                </c:pt>
                <c:pt idx="1">
                  <c:v>259426</c:v>
                </c:pt>
                <c:pt idx="2">
                  <c:v>258054</c:v>
                </c:pt>
                <c:pt idx="3">
                  <c:v>284599</c:v>
                </c:pt>
                <c:pt idx="4">
                  <c:v>328975</c:v>
                </c:pt>
                <c:pt idx="5">
                  <c:v>346999</c:v>
                </c:pt>
                <c:pt idx="6">
                  <c:v>365385</c:v>
                </c:pt>
                <c:pt idx="7">
                  <c:v>363112</c:v>
                </c:pt>
                <c:pt idx="8">
                  <c:v>397469</c:v>
                </c:pt>
                <c:pt idx="9">
                  <c:v>419180</c:v>
                </c:pt>
                <c:pt idx="10">
                  <c:v>442769</c:v>
                </c:pt>
                <c:pt idx="11">
                  <c:v>444546</c:v>
                </c:pt>
                <c:pt idx="12">
                  <c:v>482704</c:v>
                </c:pt>
                <c:pt idx="13">
                  <c:v>502601</c:v>
                </c:pt>
                <c:pt idx="14">
                  <c:v>518173</c:v>
                </c:pt>
                <c:pt idx="15">
                  <c:v>554894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Sheet9!$C$2:$C$17</c:f>
              <c:numCache>
                <c:formatCode>0.0</c:formatCode>
                <c:ptCount val="16"/>
                <c:pt idx="0">
                  <c:v>234289</c:v>
                </c:pt>
                <c:pt idx="1">
                  <c:v>259426</c:v>
                </c:pt>
                <c:pt idx="2">
                  <c:v>258054</c:v>
                </c:pt>
                <c:pt idx="3">
                  <c:v>284599</c:v>
                </c:pt>
                <c:pt idx="4">
                  <c:v>328975</c:v>
                </c:pt>
                <c:pt idx="5">
                  <c:v>346999</c:v>
                </c:pt>
                <c:pt idx="6">
                  <c:v>365385</c:v>
                </c:pt>
                <c:pt idx="7">
                  <c:v>363112</c:v>
                </c:pt>
                <c:pt idx="8">
                  <c:v>397469</c:v>
                </c:pt>
                <c:pt idx="9">
                  <c:v>419180</c:v>
                </c:pt>
                <c:pt idx="10">
                  <c:v>442769</c:v>
                </c:pt>
                <c:pt idx="11">
                  <c:v>444546</c:v>
                </c:pt>
                <c:pt idx="12">
                  <c:v>482704</c:v>
                </c:pt>
                <c:pt idx="13">
                  <c:v>502601</c:v>
                </c:pt>
                <c:pt idx="14">
                  <c:v>518173</c:v>
                </c:pt>
                <c:pt idx="15">
                  <c:v>554894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6074624"/>
        <c:axId val="166076800"/>
      </c:barChart>
      <c:catAx>
        <c:axId val="1660746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Gross National Product</a:t>
                </a:r>
              </a:p>
            </c:rich>
          </c:tx>
        </c:title>
        <c:numFmt formatCode="0.0" sourceLinked="1"/>
        <c:tickLblPos val="nextTo"/>
        <c:crossAx val="166076800"/>
        <c:crosses val="autoZero"/>
        <c:auto val="1"/>
        <c:lblAlgn val="ctr"/>
        <c:lblOffset val="100"/>
      </c:catAx>
      <c:valAx>
        <c:axId val="16607680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Response</a:t>
                </a:r>
              </a:p>
            </c:rich>
          </c:tx>
        </c:title>
        <c:numFmt formatCode="0.00" sourceLinked="1"/>
        <c:tickLblPos val="nextTo"/>
        <c:crossAx val="16607462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Unemployment Line Fit  Plot</a:t>
            </a:r>
          </a:p>
        </c:rich>
      </c:tx>
      <c:layout>
        <c:manualLayout>
          <c:xMode val="edge"/>
          <c:yMode val="edge"/>
          <c:x val="0.125"/>
          <c:y val="4.6783625730994149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Sheet9!$D$2:$D$17</c:f>
              <c:numCache>
                <c:formatCode>0.0</c:formatCode>
                <c:ptCount val="16"/>
                <c:pt idx="0">
                  <c:v>2356</c:v>
                </c:pt>
                <c:pt idx="1">
                  <c:v>2325</c:v>
                </c:pt>
                <c:pt idx="2">
                  <c:v>3682</c:v>
                </c:pt>
                <c:pt idx="3">
                  <c:v>3351</c:v>
                </c:pt>
                <c:pt idx="4">
                  <c:v>2099</c:v>
                </c:pt>
                <c:pt idx="5">
                  <c:v>1932</c:v>
                </c:pt>
                <c:pt idx="6">
                  <c:v>1870</c:v>
                </c:pt>
                <c:pt idx="7">
                  <c:v>3578</c:v>
                </c:pt>
                <c:pt idx="8">
                  <c:v>2904</c:v>
                </c:pt>
                <c:pt idx="9">
                  <c:v>2822</c:v>
                </c:pt>
                <c:pt idx="10">
                  <c:v>2936</c:v>
                </c:pt>
                <c:pt idx="11">
                  <c:v>4681</c:v>
                </c:pt>
                <c:pt idx="12">
                  <c:v>3813</c:v>
                </c:pt>
                <c:pt idx="13">
                  <c:v>3931</c:v>
                </c:pt>
                <c:pt idx="14">
                  <c:v>4806</c:v>
                </c:pt>
                <c:pt idx="15">
                  <c:v>4007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Sheet9!$D$2:$D$17</c:f>
              <c:numCache>
                <c:formatCode>0.0</c:formatCode>
                <c:ptCount val="16"/>
                <c:pt idx="0">
                  <c:v>2356</c:v>
                </c:pt>
                <c:pt idx="1">
                  <c:v>2325</c:v>
                </c:pt>
                <c:pt idx="2">
                  <c:v>3682</c:v>
                </c:pt>
                <c:pt idx="3">
                  <c:v>3351</c:v>
                </c:pt>
                <c:pt idx="4">
                  <c:v>2099</c:v>
                </c:pt>
                <c:pt idx="5">
                  <c:v>1932</c:v>
                </c:pt>
                <c:pt idx="6">
                  <c:v>1870</c:v>
                </c:pt>
                <c:pt idx="7">
                  <c:v>3578</c:v>
                </c:pt>
                <c:pt idx="8">
                  <c:v>2904</c:v>
                </c:pt>
                <c:pt idx="9">
                  <c:v>2822</c:v>
                </c:pt>
                <c:pt idx="10">
                  <c:v>2936</c:v>
                </c:pt>
                <c:pt idx="11">
                  <c:v>4681</c:v>
                </c:pt>
                <c:pt idx="12">
                  <c:v>3813</c:v>
                </c:pt>
                <c:pt idx="13">
                  <c:v>3931</c:v>
                </c:pt>
                <c:pt idx="14">
                  <c:v>4806</c:v>
                </c:pt>
                <c:pt idx="15">
                  <c:v>4007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6113664"/>
        <c:axId val="166115584"/>
      </c:barChart>
      <c:catAx>
        <c:axId val="166113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Unemployment</a:t>
                </a:r>
              </a:p>
            </c:rich>
          </c:tx>
        </c:title>
        <c:numFmt formatCode="0.0" sourceLinked="1"/>
        <c:tickLblPos val="nextTo"/>
        <c:crossAx val="166115584"/>
        <c:crosses val="autoZero"/>
        <c:auto val="1"/>
        <c:lblAlgn val="ctr"/>
        <c:lblOffset val="100"/>
      </c:catAx>
      <c:valAx>
        <c:axId val="1661155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Response</a:t>
                </a:r>
              </a:p>
            </c:rich>
          </c:tx>
        </c:title>
        <c:numFmt formatCode="0.00" sourceLinked="1"/>
        <c:tickLblPos val="nextTo"/>
        <c:crossAx val="16611366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Military Employment Line Fit  Plot</a:t>
            </a:r>
          </a:p>
        </c:rich>
      </c:tx>
      <c:layout>
        <c:manualLayout>
          <c:xMode val="edge"/>
          <c:yMode val="edge"/>
          <c:x val="0.1171875"/>
          <c:y val="4.6511627906976744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Sheet9!$E$2:$E$17</c:f>
              <c:numCache>
                <c:formatCode>0.0</c:formatCode>
                <c:ptCount val="16"/>
                <c:pt idx="0">
                  <c:v>1590</c:v>
                </c:pt>
                <c:pt idx="1">
                  <c:v>1456</c:v>
                </c:pt>
                <c:pt idx="2">
                  <c:v>1616</c:v>
                </c:pt>
                <c:pt idx="3">
                  <c:v>1650</c:v>
                </c:pt>
                <c:pt idx="4">
                  <c:v>3099</c:v>
                </c:pt>
                <c:pt idx="5">
                  <c:v>3594</c:v>
                </c:pt>
                <c:pt idx="6">
                  <c:v>3547</c:v>
                </c:pt>
                <c:pt idx="7">
                  <c:v>3350</c:v>
                </c:pt>
                <c:pt idx="8">
                  <c:v>3048</c:v>
                </c:pt>
                <c:pt idx="9">
                  <c:v>2857</c:v>
                </c:pt>
                <c:pt idx="10">
                  <c:v>2798</c:v>
                </c:pt>
                <c:pt idx="11">
                  <c:v>2637</c:v>
                </c:pt>
                <c:pt idx="12">
                  <c:v>2552</c:v>
                </c:pt>
                <c:pt idx="13">
                  <c:v>2514</c:v>
                </c:pt>
                <c:pt idx="14">
                  <c:v>2572</c:v>
                </c:pt>
                <c:pt idx="15">
                  <c:v>2827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Sheet9!$E$2:$E$17</c:f>
              <c:numCache>
                <c:formatCode>0.0</c:formatCode>
                <c:ptCount val="16"/>
                <c:pt idx="0">
                  <c:v>1590</c:v>
                </c:pt>
                <c:pt idx="1">
                  <c:v>1456</c:v>
                </c:pt>
                <c:pt idx="2">
                  <c:v>1616</c:v>
                </c:pt>
                <c:pt idx="3">
                  <c:v>1650</c:v>
                </c:pt>
                <c:pt idx="4">
                  <c:v>3099</c:v>
                </c:pt>
                <c:pt idx="5">
                  <c:v>3594</c:v>
                </c:pt>
                <c:pt idx="6">
                  <c:v>3547</c:v>
                </c:pt>
                <c:pt idx="7">
                  <c:v>3350</c:v>
                </c:pt>
                <c:pt idx="8">
                  <c:v>3048</c:v>
                </c:pt>
                <c:pt idx="9">
                  <c:v>2857</c:v>
                </c:pt>
                <c:pt idx="10">
                  <c:v>2798</c:v>
                </c:pt>
                <c:pt idx="11">
                  <c:v>2637</c:v>
                </c:pt>
                <c:pt idx="12">
                  <c:v>2552</c:v>
                </c:pt>
                <c:pt idx="13">
                  <c:v>2514</c:v>
                </c:pt>
                <c:pt idx="14">
                  <c:v>2572</c:v>
                </c:pt>
                <c:pt idx="15">
                  <c:v>2827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6136832"/>
        <c:axId val="166151296"/>
      </c:barChart>
      <c:catAx>
        <c:axId val="1661368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Military Employment</a:t>
                </a:r>
              </a:p>
            </c:rich>
          </c:tx>
        </c:title>
        <c:numFmt formatCode="0.0" sourceLinked="1"/>
        <c:tickLblPos val="nextTo"/>
        <c:crossAx val="166151296"/>
        <c:crosses val="autoZero"/>
        <c:auto val="1"/>
        <c:lblAlgn val="ctr"/>
        <c:lblOffset val="100"/>
      </c:catAx>
      <c:valAx>
        <c:axId val="1661512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Response</a:t>
                </a:r>
              </a:p>
            </c:rich>
          </c:tx>
        </c:title>
        <c:numFmt formatCode="0.00" sourceLinked="1"/>
        <c:tickLblPos val="nextTo"/>
        <c:crossAx val="16613683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Population Line Fit  Plot</a:t>
            </a:r>
          </a:p>
        </c:rich>
      </c:tx>
      <c:layout>
        <c:manualLayout>
          <c:xMode val="edge"/>
          <c:yMode val="edge"/>
          <c:x val="0.18489583333333334"/>
          <c:y val="4.6511627906976744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Sheet9!$F$2:$F$17</c:f>
              <c:numCache>
                <c:formatCode>0.0</c:formatCode>
                <c:ptCount val="16"/>
                <c:pt idx="0">
                  <c:v>107608</c:v>
                </c:pt>
                <c:pt idx="1">
                  <c:v>108632</c:v>
                </c:pt>
                <c:pt idx="2">
                  <c:v>109773</c:v>
                </c:pt>
                <c:pt idx="3">
                  <c:v>110929</c:v>
                </c:pt>
                <c:pt idx="4">
                  <c:v>112075</c:v>
                </c:pt>
                <c:pt idx="5">
                  <c:v>113270</c:v>
                </c:pt>
                <c:pt idx="6">
                  <c:v>115094</c:v>
                </c:pt>
                <c:pt idx="7">
                  <c:v>116219</c:v>
                </c:pt>
                <c:pt idx="8">
                  <c:v>117388</c:v>
                </c:pt>
                <c:pt idx="9">
                  <c:v>118734</c:v>
                </c:pt>
                <c:pt idx="10">
                  <c:v>120445</c:v>
                </c:pt>
                <c:pt idx="11">
                  <c:v>121950</c:v>
                </c:pt>
                <c:pt idx="12">
                  <c:v>123366</c:v>
                </c:pt>
                <c:pt idx="13">
                  <c:v>125368</c:v>
                </c:pt>
                <c:pt idx="14">
                  <c:v>127852</c:v>
                </c:pt>
                <c:pt idx="15">
                  <c:v>130081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Sheet9!$F$2:$F$17</c:f>
              <c:numCache>
                <c:formatCode>0.0</c:formatCode>
                <c:ptCount val="16"/>
                <c:pt idx="0">
                  <c:v>107608</c:v>
                </c:pt>
                <c:pt idx="1">
                  <c:v>108632</c:v>
                </c:pt>
                <c:pt idx="2">
                  <c:v>109773</c:v>
                </c:pt>
                <c:pt idx="3">
                  <c:v>110929</c:v>
                </c:pt>
                <c:pt idx="4">
                  <c:v>112075</c:v>
                </c:pt>
                <c:pt idx="5">
                  <c:v>113270</c:v>
                </c:pt>
                <c:pt idx="6">
                  <c:v>115094</c:v>
                </c:pt>
                <c:pt idx="7">
                  <c:v>116219</c:v>
                </c:pt>
                <c:pt idx="8">
                  <c:v>117388</c:v>
                </c:pt>
                <c:pt idx="9">
                  <c:v>118734</c:v>
                </c:pt>
                <c:pt idx="10">
                  <c:v>120445</c:v>
                </c:pt>
                <c:pt idx="11">
                  <c:v>121950</c:v>
                </c:pt>
                <c:pt idx="12">
                  <c:v>123366</c:v>
                </c:pt>
                <c:pt idx="13">
                  <c:v>125368</c:v>
                </c:pt>
                <c:pt idx="14">
                  <c:v>127852</c:v>
                </c:pt>
                <c:pt idx="15">
                  <c:v>130081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6184832"/>
        <c:axId val="166191104"/>
      </c:barChart>
      <c:catAx>
        <c:axId val="1661848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</c:title>
        <c:numFmt formatCode="0.0" sourceLinked="1"/>
        <c:tickLblPos val="nextTo"/>
        <c:crossAx val="166191104"/>
        <c:crosses val="autoZero"/>
        <c:auto val="1"/>
        <c:lblAlgn val="ctr"/>
        <c:lblOffset val="100"/>
      </c:catAx>
      <c:valAx>
        <c:axId val="16619110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Response</a:t>
                </a:r>
              </a:p>
            </c:rich>
          </c:tx>
        </c:title>
        <c:numFmt formatCode="0.00" sourceLinked="1"/>
        <c:tickLblPos val="nextTo"/>
        <c:crossAx val="16618483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Year-Time Line Fit  Plot</a:t>
            </a:r>
          </a:p>
        </c:rich>
      </c:tx>
      <c:layout>
        <c:manualLayout>
          <c:xMode val="edge"/>
          <c:yMode val="edge"/>
          <c:x val="0.1953125"/>
          <c:y val="4.6511627906976744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Response</c:v>
          </c:tx>
          <c:cat>
            <c:numRef>
              <c:f>Sheet9!$G$2:$G$17</c:f>
              <c:numCache>
                <c:formatCode>0.0</c:formatCode>
                <c:ptCount val="16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</c:numCache>
            </c:numRef>
          </c:cat>
          <c:val>
            <c:numRef>
              <c:f>Sheet9!$A$2:$A$17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val>
        </c:ser>
        <c:ser>
          <c:idx val="1"/>
          <c:order val="1"/>
          <c:tx>
            <c:v>Predicted Response</c:v>
          </c:tx>
          <c:cat>
            <c:numRef>
              <c:f>Sheet9!$G$2:$G$17</c:f>
              <c:numCache>
                <c:formatCode>0.0</c:formatCode>
                <c:ptCount val="16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</c:numCache>
            </c:numRef>
          </c:cat>
          <c:val>
            <c:numRef>
              <c:f>Sheet9!$L$30:$L$45</c:f>
              <c:numCache>
                <c:formatCode>General</c:formatCode>
                <c:ptCount val="16"/>
                <c:pt idx="0">
                  <c:v>60055.659970239823</c:v>
                </c:pt>
                <c:pt idx="1">
                  <c:v>61216.013942398611</c:v>
                </c:pt>
                <c:pt idx="2">
                  <c:v>60124.7128322422</c:v>
                </c:pt>
                <c:pt idx="3">
                  <c:v>61597.114621931098</c:v>
                </c:pt>
                <c:pt idx="4">
                  <c:v>62911.285409239397</c:v>
                </c:pt>
                <c:pt idx="5">
                  <c:v>63888.311215329188</c:v>
                </c:pt>
                <c:pt idx="6">
                  <c:v>65153.048956395724</c:v>
                </c:pt>
                <c:pt idx="7">
                  <c:v>63774.18035686628</c:v>
                </c:pt>
                <c:pt idx="8">
                  <c:v>66004.6952274004</c:v>
                </c:pt>
                <c:pt idx="9">
                  <c:v>67401.605905448014</c:v>
                </c:pt>
                <c:pt idx="10">
                  <c:v>68186.268927114405</c:v>
                </c:pt>
                <c:pt idx="11">
                  <c:v>66552.055042522741</c:v>
                </c:pt>
                <c:pt idx="12">
                  <c:v>68810.549973595131</c:v>
                </c:pt>
                <c:pt idx="13">
                  <c:v>69649.671308042132</c:v>
                </c:pt>
                <c:pt idx="14">
                  <c:v>68989.068486038639</c:v>
                </c:pt>
                <c:pt idx="15">
                  <c:v>70757.757825193432</c:v>
                </c:pt>
              </c:numCache>
            </c:numRef>
          </c:val>
        </c:ser>
        <c:axId val="166232832"/>
        <c:axId val="166234752"/>
      </c:barChart>
      <c:catAx>
        <c:axId val="1662328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Year-Time</a:t>
                </a:r>
              </a:p>
            </c:rich>
          </c:tx>
        </c:title>
        <c:numFmt formatCode="0.0" sourceLinked="1"/>
        <c:tickLblPos val="nextTo"/>
        <c:crossAx val="166234752"/>
        <c:crosses val="autoZero"/>
        <c:auto val="1"/>
        <c:lblAlgn val="ctr"/>
        <c:lblOffset val="100"/>
      </c:catAx>
      <c:valAx>
        <c:axId val="1662347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Response</a:t>
                </a:r>
              </a:p>
            </c:rich>
          </c:tx>
        </c:title>
        <c:numFmt formatCode="0.00" sourceLinked="1"/>
        <c:tickLblPos val="nextTo"/>
        <c:crossAx val="16623283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layout>
        <c:manualLayout>
          <c:xMode val="edge"/>
          <c:yMode val="edge"/>
          <c:x val="0.18489583333333334"/>
          <c:y val="4.6783625730994149E-2"/>
        </c:manualLayout>
      </c:layout>
    </c:title>
    <c:plotArea>
      <c:layout/>
      <c:barChart>
        <c:barDir val="col"/>
        <c:grouping val="clustered"/>
        <c:ser>
          <c:idx val="0"/>
          <c:order val="0"/>
          <c:cat>
            <c:numRef>
              <c:f>Sheet9!$P$30:$P$45</c:f>
              <c:numCache>
                <c:formatCode>General</c:formatCode>
                <c:ptCount val="16"/>
                <c:pt idx="0">
                  <c:v>3.125</c:v>
                </c:pt>
                <c:pt idx="1">
                  <c:v>9.375</c:v>
                </c:pt>
                <c:pt idx="2">
                  <c:v>15.625</c:v>
                </c:pt>
                <c:pt idx="3">
                  <c:v>21.875</c:v>
                </c:pt>
                <c:pt idx="4">
                  <c:v>28.125</c:v>
                </c:pt>
                <c:pt idx="5">
                  <c:v>34.375</c:v>
                </c:pt>
                <c:pt idx="6">
                  <c:v>40.625</c:v>
                </c:pt>
                <c:pt idx="7">
                  <c:v>46.875</c:v>
                </c:pt>
                <c:pt idx="8">
                  <c:v>53.125</c:v>
                </c:pt>
                <c:pt idx="9">
                  <c:v>59.375</c:v>
                </c:pt>
                <c:pt idx="10">
                  <c:v>65.625</c:v>
                </c:pt>
                <c:pt idx="11">
                  <c:v>71.875</c:v>
                </c:pt>
                <c:pt idx="12">
                  <c:v>78.125</c:v>
                </c:pt>
                <c:pt idx="13">
                  <c:v>84.375</c:v>
                </c:pt>
                <c:pt idx="14">
                  <c:v>90.625</c:v>
                </c:pt>
                <c:pt idx="15">
                  <c:v>96.875</c:v>
                </c:pt>
              </c:numCache>
            </c:numRef>
          </c:cat>
          <c:val>
            <c:numRef>
              <c:f>Sheet9!$Q$30:$Q$45</c:f>
              <c:numCache>
                <c:formatCode>General</c:formatCode>
                <c:ptCount val="16"/>
                <c:pt idx="0">
                  <c:v>60171</c:v>
                </c:pt>
                <c:pt idx="1">
                  <c:v>60323</c:v>
                </c:pt>
                <c:pt idx="2">
                  <c:v>61122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63761</c:v>
                </c:pt>
                <c:pt idx="7">
                  <c:v>64989</c:v>
                </c:pt>
                <c:pt idx="8">
                  <c:v>66019</c:v>
                </c:pt>
                <c:pt idx="9">
                  <c:v>66513</c:v>
                </c:pt>
                <c:pt idx="10">
                  <c:v>67857</c:v>
                </c:pt>
                <c:pt idx="11">
                  <c:v>68169</c:v>
                </c:pt>
                <c:pt idx="12">
                  <c:v>68655</c:v>
                </c:pt>
                <c:pt idx="13">
                  <c:v>69331</c:v>
                </c:pt>
                <c:pt idx="14">
                  <c:v>69564</c:v>
                </c:pt>
                <c:pt idx="15">
                  <c:v>70551</c:v>
                </c:pt>
              </c:numCache>
            </c:numRef>
          </c:val>
        </c:ser>
        <c:axId val="166275712"/>
        <c:axId val="166290176"/>
      </c:barChart>
      <c:catAx>
        <c:axId val="1662757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</c:title>
        <c:numFmt formatCode="General" sourceLinked="1"/>
        <c:tickLblPos val="nextTo"/>
        <c:crossAx val="166290176"/>
        <c:crosses val="autoZero"/>
        <c:auto val="1"/>
        <c:lblAlgn val="ctr"/>
        <c:lblOffset val="100"/>
      </c:catAx>
      <c:valAx>
        <c:axId val="1662901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Response</a:t>
                </a:r>
              </a:p>
            </c:rich>
          </c:tx>
        </c:title>
        <c:numFmt formatCode="General" sourceLinked="1"/>
        <c:tickLblPos val="nextTo"/>
        <c:crossAx val="16627571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1  Residual Plot</a:t>
            </a:r>
          </a:p>
        </c:rich>
      </c:tx>
      <c:layout>
        <c:manualLayout>
          <c:xMode val="edge"/>
          <c:yMode val="edge"/>
          <c:x val="0.234375"/>
          <c:y val="4.651162790697674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364622407588724"/>
          <c:y val="0.36046613958637919"/>
          <c:w val="0.75781442722174897"/>
          <c:h val="0.23837276972647656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Longley!$B$23:$B$38</c:f>
              <c:numCache>
                <c:formatCode>0.00</c:formatCode>
                <c:ptCount val="16"/>
                <c:pt idx="0">
                  <c:v>-18.681250000000006</c:v>
                </c:pt>
                <c:pt idx="1">
                  <c:v>-13.181250000000006</c:v>
                </c:pt>
                <c:pt idx="2">
                  <c:v>-13.481250000000003</c:v>
                </c:pt>
                <c:pt idx="3">
                  <c:v>-12.181250000000006</c:v>
                </c:pt>
                <c:pt idx="4">
                  <c:v>-5.4812500000000028</c:v>
                </c:pt>
                <c:pt idx="5">
                  <c:v>-3.5812500000000114</c:v>
                </c:pt>
                <c:pt idx="6">
                  <c:v>-2.6812500000000057</c:v>
                </c:pt>
                <c:pt idx="7">
                  <c:v>-1.6812500000000057</c:v>
                </c:pt>
                <c:pt idx="8">
                  <c:v>-0.48125000000000284</c:v>
                </c:pt>
                <c:pt idx="9">
                  <c:v>2.9187499999999886</c:v>
                </c:pt>
                <c:pt idx="10">
                  <c:v>6.71875</c:v>
                </c:pt>
                <c:pt idx="11">
                  <c:v>9.1187499999999915</c:v>
                </c:pt>
                <c:pt idx="12">
                  <c:v>10.918749999999989</c:v>
                </c:pt>
                <c:pt idx="13">
                  <c:v>12.518749999999997</c:v>
                </c:pt>
                <c:pt idx="14">
                  <c:v>14.018749999999997</c:v>
                </c:pt>
                <c:pt idx="15">
                  <c:v>15.21875</c:v>
                </c:pt>
              </c:numCache>
            </c:numRef>
          </c:xVal>
          <c:yVal>
            <c:numRef>
              <c:f>Longley!$L$55:$L$70</c:f>
              <c:numCache>
                <c:formatCode>General</c:formatCode>
                <c:ptCount val="16"/>
              </c:numCache>
            </c:numRef>
          </c:yVal>
        </c:ser>
        <c:axId val="154323200"/>
        <c:axId val="163828480"/>
      </c:scatterChart>
      <c:valAx>
        <c:axId val="1543232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1</a:t>
                </a:r>
              </a:p>
            </c:rich>
          </c:tx>
          <c:layout>
            <c:manualLayout>
              <c:xMode val="edge"/>
              <c:yMode val="edge"/>
              <c:x val="0.42448026027996499"/>
              <c:y val="0.77907220899713114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828480"/>
        <c:crosses val="autoZero"/>
        <c:crossBetween val="midCat"/>
      </c:valAx>
      <c:valAx>
        <c:axId val="1638284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2906982848074223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3232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2  Residual Plot</a:t>
            </a:r>
          </a:p>
        </c:rich>
      </c:tx>
      <c:layout>
        <c:manualLayout>
          <c:xMode val="edge"/>
          <c:yMode val="edge"/>
          <c:x val="0.234375"/>
          <c:y val="4.678362573099414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9010465012779268"/>
          <c:y val="0.35672718342918169"/>
          <c:w val="0.68489757511793803"/>
          <c:h val="0.1403516787262354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Longley!$C$23:$C$38</c:f>
              <c:numCache>
                <c:formatCode>0.00</c:formatCode>
                <c:ptCount val="16"/>
                <c:pt idx="0">
                  <c:v>-153409.4375</c:v>
                </c:pt>
                <c:pt idx="1">
                  <c:v>-128272.4375</c:v>
                </c:pt>
                <c:pt idx="2">
                  <c:v>-129644.4375</c:v>
                </c:pt>
                <c:pt idx="3">
                  <c:v>-103099.4375</c:v>
                </c:pt>
                <c:pt idx="4">
                  <c:v>-58723.4375</c:v>
                </c:pt>
                <c:pt idx="5">
                  <c:v>-40699.4375</c:v>
                </c:pt>
                <c:pt idx="6">
                  <c:v>-22313.4375</c:v>
                </c:pt>
                <c:pt idx="7">
                  <c:v>-24586.4375</c:v>
                </c:pt>
                <c:pt idx="8">
                  <c:v>9770.5625</c:v>
                </c:pt>
                <c:pt idx="9">
                  <c:v>31481.5625</c:v>
                </c:pt>
                <c:pt idx="10">
                  <c:v>55070.5625</c:v>
                </c:pt>
                <c:pt idx="11">
                  <c:v>56847.5625</c:v>
                </c:pt>
                <c:pt idx="12">
                  <c:v>95005.5625</c:v>
                </c:pt>
                <c:pt idx="13">
                  <c:v>114902.5625</c:v>
                </c:pt>
                <c:pt idx="14">
                  <c:v>130474.5625</c:v>
                </c:pt>
                <c:pt idx="15">
                  <c:v>167195.5625</c:v>
                </c:pt>
              </c:numCache>
            </c:numRef>
          </c:xVal>
          <c:yVal>
            <c:numRef>
              <c:f>Longley!$L$55:$L$70</c:f>
              <c:numCache>
                <c:formatCode>General</c:formatCode>
                <c:ptCount val="16"/>
              </c:numCache>
            </c:numRef>
          </c:yVal>
        </c:ser>
        <c:axId val="151076864"/>
        <c:axId val="151079168"/>
      </c:scatterChart>
      <c:valAx>
        <c:axId val="151076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2</a:t>
                </a:r>
              </a:p>
            </c:rich>
          </c:tx>
          <c:layout>
            <c:manualLayout>
              <c:xMode val="edge"/>
              <c:yMode val="edge"/>
              <c:x val="0.42448026027996499"/>
              <c:y val="0.7777820754861782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1079168"/>
        <c:crosses val="autoZero"/>
        <c:crossBetween val="midCat"/>
      </c:valAx>
      <c:valAx>
        <c:axId val="15107916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2397673097880308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1076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3  Residual Plot</a:t>
            </a:r>
          </a:p>
        </c:rich>
      </c:tx>
      <c:layout>
        <c:manualLayout>
          <c:xMode val="edge"/>
          <c:yMode val="edge"/>
          <c:x val="0.234375"/>
          <c:y val="4.678362573099414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7187543710183997"/>
          <c:y val="0.35672718342918169"/>
          <c:w val="0.72135600116984344"/>
          <c:h val="0.23976745115731884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Longley!$D$23:$D$38</c:f>
              <c:numCache>
                <c:formatCode>0.00</c:formatCode>
                <c:ptCount val="16"/>
                <c:pt idx="0">
                  <c:v>-837.3125</c:v>
                </c:pt>
                <c:pt idx="1">
                  <c:v>-868.3125</c:v>
                </c:pt>
                <c:pt idx="2">
                  <c:v>488.6875</c:v>
                </c:pt>
                <c:pt idx="3">
                  <c:v>157.6875</c:v>
                </c:pt>
                <c:pt idx="4">
                  <c:v>-1094.3125</c:v>
                </c:pt>
                <c:pt idx="5">
                  <c:v>-1261.3125</c:v>
                </c:pt>
                <c:pt idx="6">
                  <c:v>-1323.3125</c:v>
                </c:pt>
                <c:pt idx="7">
                  <c:v>384.6875</c:v>
                </c:pt>
                <c:pt idx="8">
                  <c:v>-289.3125</c:v>
                </c:pt>
                <c:pt idx="9">
                  <c:v>-371.3125</c:v>
                </c:pt>
                <c:pt idx="10">
                  <c:v>-257.3125</c:v>
                </c:pt>
                <c:pt idx="11">
                  <c:v>1487.6875</c:v>
                </c:pt>
                <c:pt idx="12">
                  <c:v>619.6875</c:v>
                </c:pt>
                <c:pt idx="13">
                  <c:v>737.6875</c:v>
                </c:pt>
                <c:pt idx="14">
                  <c:v>1612.6875</c:v>
                </c:pt>
                <c:pt idx="15">
                  <c:v>813.6875</c:v>
                </c:pt>
              </c:numCache>
            </c:numRef>
          </c:xVal>
          <c:yVal>
            <c:numRef>
              <c:f>Longley!$L$55:$L$70</c:f>
              <c:numCache>
                <c:formatCode>General</c:formatCode>
                <c:ptCount val="16"/>
              </c:numCache>
            </c:numRef>
          </c:yVal>
        </c:ser>
        <c:axId val="164369920"/>
        <c:axId val="164372480"/>
      </c:scatterChart>
      <c:valAx>
        <c:axId val="1643699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3</a:t>
                </a:r>
              </a:p>
            </c:rich>
          </c:tx>
          <c:layout>
            <c:manualLayout>
              <c:xMode val="edge"/>
              <c:yMode val="edge"/>
              <c:x val="0.42448026027996499"/>
              <c:y val="0.7777820754861782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372480"/>
        <c:crosses val="autoZero"/>
        <c:crossBetween val="midCat"/>
      </c:valAx>
      <c:valAx>
        <c:axId val="1643724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2865515494773679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369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4  Residual Plot</a:t>
            </a:r>
          </a:p>
        </c:rich>
      </c:tx>
      <c:layout>
        <c:manualLayout>
          <c:xMode val="edge"/>
          <c:yMode val="edge"/>
          <c:x val="0.234375"/>
          <c:y val="4.07239819004524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7187543710183997"/>
          <c:y val="0.28506787330316741"/>
          <c:w val="0.72135600116984344"/>
          <c:h val="0.32579185520361992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Longley!$E$23:$E$38</c:f>
              <c:numCache>
                <c:formatCode>0.00</c:formatCode>
                <c:ptCount val="16"/>
                <c:pt idx="0">
                  <c:v>-1016.6875</c:v>
                </c:pt>
                <c:pt idx="1">
                  <c:v>-1150.6875</c:v>
                </c:pt>
                <c:pt idx="2">
                  <c:v>-990.6875</c:v>
                </c:pt>
                <c:pt idx="3">
                  <c:v>-956.6875</c:v>
                </c:pt>
                <c:pt idx="4">
                  <c:v>492.3125</c:v>
                </c:pt>
                <c:pt idx="5">
                  <c:v>987.3125</c:v>
                </c:pt>
                <c:pt idx="6">
                  <c:v>940.3125</c:v>
                </c:pt>
                <c:pt idx="7">
                  <c:v>743.3125</c:v>
                </c:pt>
                <c:pt idx="8">
                  <c:v>441.3125</c:v>
                </c:pt>
                <c:pt idx="9">
                  <c:v>250.3125</c:v>
                </c:pt>
                <c:pt idx="10">
                  <c:v>191.3125</c:v>
                </c:pt>
                <c:pt idx="11">
                  <c:v>30.3125</c:v>
                </c:pt>
                <c:pt idx="12">
                  <c:v>-54.6875</c:v>
                </c:pt>
                <c:pt idx="13">
                  <c:v>-92.6875</c:v>
                </c:pt>
                <c:pt idx="14">
                  <c:v>-34.6875</c:v>
                </c:pt>
                <c:pt idx="15">
                  <c:v>220.3125</c:v>
                </c:pt>
              </c:numCache>
            </c:numRef>
          </c:xVal>
          <c:yVal>
            <c:numRef>
              <c:f>Longley!$L$55:$L$70</c:f>
              <c:numCache>
                <c:formatCode>General</c:formatCode>
                <c:ptCount val="16"/>
              </c:numCache>
            </c:numRef>
          </c:yVal>
        </c:ser>
        <c:axId val="164383744"/>
        <c:axId val="164402688"/>
      </c:scatterChart>
      <c:valAx>
        <c:axId val="164383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4</a:t>
                </a:r>
              </a:p>
            </c:rich>
          </c:tx>
          <c:layout>
            <c:manualLayout>
              <c:xMode val="edge"/>
              <c:yMode val="edge"/>
              <c:x val="0.42448026027996499"/>
              <c:y val="0.8280542986425338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402688"/>
        <c:crosses val="autoZero"/>
        <c:crossBetween val="midCat"/>
      </c:valAx>
      <c:valAx>
        <c:axId val="1644026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303167420814479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3837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5  Residual Plot</a:t>
            </a:r>
          </a:p>
        </c:rich>
      </c:tx>
      <c:layout>
        <c:manualLayout>
          <c:xMode val="edge"/>
          <c:yMode val="edge"/>
          <c:x val="0.234375"/>
          <c:y val="4.07239819004524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7187543710183997"/>
          <c:y val="0.28506787330316741"/>
          <c:w val="0.72135600116984344"/>
          <c:h val="0.32579185520361992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Longley!$F$23:$F$38</c:f>
              <c:numCache>
                <c:formatCode>0.00</c:formatCode>
                <c:ptCount val="16"/>
                <c:pt idx="0">
                  <c:v>-9816</c:v>
                </c:pt>
                <c:pt idx="1">
                  <c:v>-8792</c:v>
                </c:pt>
                <c:pt idx="2">
                  <c:v>-7651</c:v>
                </c:pt>
                <c:pt idx="3">
                  <c:v>-6495</c:v>
                </c:pt>
                <c:pt idx="4">
                  <c:v>-5349</c:v>
                </c:pt>
                <c:pt idx="5">
                  <c:v>-4154</c:v>
                </c:pt>
                <c:pt idx="6">
                  <c:v>-2330</c:v>
                </c:pt>
                <c:pt idx="7">
                  <c:v>-1205</c:v>
                </c:pt>
                <c:pt idx="8">
                  <c:v>-36</c:v>
                </c:pt>
                <c:pt idx="9">
                  <c:v>1310</c:v>
                </c:pt>
                <c:pt idx="10">
                  <c:v>3021</c:v>
                </c:pt>
                <c:pt idx="11">
                  <c:v>4526</c:v>
                </c:pt>
                <c:pt idx="12">
                  <c:v>5942</c:v>
                </c:pt>
                <c:pt idx="13">
                  <c:v>7944</c:v>
                </c:pt>
                <c:pt idx="14">
                  <c:v>10428</c:v>
                </c:pt>
                <c:pt idx="15">
                  <c:v>12657</c:v>
                </c:pt>
              </c:numCache>
            </c:numRef>
          </c:xVal>
          <c:yVal>
            <c:numRef>
              <c:f>Longley!$L$55:$L$70</c:f>
              <c:numCache>
                <c:formatCode>General</c:formatCode>
                <c:ptCount val="16"/>
              </c:numCache>
            </c:numRef>
          </c:yVal>
        </c:ser>
        <c:axId val="164426496"/>
        <c:axId val="164428800"/>
      </c:scatterChart>
      <c:valAx>
        <c:axId val="1644264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5</a:t>
                </a:r>
              </a:p>
            </c:rich>
          </c:tx>
          <c:layout>
            <c:manualLayout>
              <c:xMode val="edge"/>
              <c:yMode val="edge"/>
              <c:x val="0.42448026027996499"/>
              <c:y val="0.8280542986425338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428800"/>
        <c:crosses val="autoZero"/>
        <c:crossBetween val="midCat"/>
      </c:valAx>
      <c:valAx>
        <c:axId val="16442880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303167420814479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426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6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6  Residual Plot</a:t>
            </a:r>
          </a:p>
        </c:rich>
      </c:tx>
      <c:layout>
        <c:manualLayout>
          <c:xMode val="edge"/>
          <c:yMode val="edge"/>
          <c:x val="0.24045801526717558"/>
          <c:y val="3.341902313624678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595419847328243"/>
          <c:y val="0.20822622107969152"/>
          <c:w val="0.8072519083969466"/>
          <c:h val="0.58611825192802058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Longley!$G$23:$G$38</c:f>
              <c:numCache>
                <c:formatCode>0.0</c:formatCode>
                <c:ptCount val="16"/>
                <c:pt idx="0">
                  <c:v>-7.5</c:v>
                </c:pt>
                <c:pt idx="1">
                  <c:v>-6.5</c:v>
                </c:pt>
                <c:pt idx="2">
                  <c:v>-5.5</c:v>
                </c:pt>
                <c:pt idx="3">
                  <c:v>-4.5</c:v>
                </c:pt>
                <c:pt idx="4">
                  <c:v>-3.5</c:v>
                </c:pt>
                <c:pt idx="5">
                  <c:v>-2.5</c:v>
                </c:pt>
                <c:pt idx="6">
                  <c:v>-1.5</c:v>
                </c:pt>
                <c:pt idx="7">
                  <c:v>-0.5</c:v>
                </c:pt>
                <c:pt idx="8">
                  <c:v>0.5</c:v>
                </c:pt>
                <c:pt idx="9">
                  <c:v>1.5</c:v>
                </c:pt>
                <c:pt idx="10">
                  <c:v>2.5</c:v>
                </c:pt>
                <c:pt idx="11">
                  <c:v>3.5</c:v>
                </c:pt>
                <c:pt idx="12">
                  <c:v>4.5</c:v>
                </c:pt>
                <c:pt idx="13">
                  <c:v>5.5</c:v>
                </c:pt>
                <c:pt idx="14">
                  <c:v>6.5</c:v>
                </c:pt>
                <c:pt idx="15">
                  <c:v>7.5</c:v>
                </c:pt>
              </c:numCache>
            </c:numRef>
          </c:xVal>
          <c:yVal>
            <c:numRef>
              <c:f>Longley!$L$55:$L$70</c:f>
              <c:numCache>
                <c:formatCode>General</c:formatCode>
                <c:ptCount val="16"/>
              </c:numCache>
            </c:numRef>
          </c:yVal>
        </c:ser>
        <c:axId val="164476800"/>
        <c:axId val="164491648"/>
      </c:scatterChart>
      <c:valAx>
        <c:axId val="164476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6</a:t>
                </a:r>
              </a:p>
            </c:rich>
          </c:tx>
          <c:layout>
            <c:manualLayout>
              <c:xMode val="edge"/>
              <c:yMode val="edge"/>
              <c:x val="0.43702290076335876"/>
              <c:y val="0.88688946015424164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491648"/>
        <c:crosses val="autoZero"/>
        <c:crossBetween val="midCat"/>
      </c:valAx>
      <c:valAx>
        <c:axId val="16449164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3.0534351145038167E-2"/>
              <c:y val="0.395886889460154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4768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1 Line Fit  Plot</a:t>
            </a:r>
          </a:p>
        </c:rich>
      </c:tx>
      <c:layout>
        <c:manualLayout>
          <c:xMode val="edge"/>
          <c:yMode val="edge"/>
          <c:x val="0.24739583333333334"/>
          <c:y val="4.054054054054054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364622407588724"/>
          <c:y val="0.28828955645391879"/>
          <c:w val="0.51562631130551984"/>
          <c:h val="0.49099315083558048"/>
        </c:manualLayout>
      </c:layout>
      <c:scatterChart>
        <c:scatterStyle val="lineMarker"/>
        <c:ser>
          <c:idx val="0"/>
          <c:order val="0"/>
          <c:tx>
            <c:v>Y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Longley!$B$23:$B$38</c:f>
              <c:numCache>
                <c:formatCode>0.00</c:formatCode>
                <c:ptCount val="16"/>
                <c:pt idx="0">
                  <c:v>-18.681250000000006</c:v>
                </c:pt>
                <c:pt idx="1">
                  <c:v>-13.181250000000006</c:v>
                </c:pt>
                <c:pt idx="2">
                  <c:v>-13.481250000000003</c:v>
                </c:pt>
                <c:pt idx="3">
                  <c:v>-12.181250000000006</c:v>
                </c:pt>
                <c:pt idx="4">
                  <c:v>-5.4812500000000028</c:v>
                </c:pt>
                <c:pt idx="5">
                  <c:v>-3.5812500000000114</c:v>
                </c:pt>
                <c:pt idx="6">
                  <c:v>-2.6812500000000057</c:v>
                </c:pt>
                <c:pt idx="7">
                  <c:v>-1.6812500000000057</c:v>
                </c:pt>
                <c:pt idx="8">
                  <c:v>-0.48125000000000284</c:v>
                </c:pt>
                <c:pt idx="9">
                  <c:v>2.9187499999999886</c:v>
                </c:pt>
                <c:pt idx="10">
                  <c:v>6.71875</c:v>
                </c:pt>
                <c:pt idx="11">
                  <c:v>9.1187499999999915</c:v>
                </c:pt>
                <c:pt idx="12">
                  <c:v>10.918749999999989</c:v>
                </c:pt>
                <c:pt idx="13">
                  <c:v>12.518749999999997</c:v>
                </c:pt>
                <c:pt idx="14">
                  <c:v>14.018749999999997</c:v>
                </c:pt>
                <c:pt idx="15">
                  <c:v>15.21875</c:v>
                </c:pt>
              </c:numCache>
            </c:numRef>
          </c:xVal>
          <c:yVal>
            <c:numRef>
              <c:f>Longley!$A$23:$A$38</c:f>
              <c:numCache>
                <c:formatCode>0.00</c:formatCode>
                <c:ptCount val="16"/>
                <c:pt idx="0">
                  <c:v>-4994</c:v>
                </c:pt>
                <c:pt idx="1">
                  <c:v>-4195</c:v>
                </c:pt>
                <c:pt idx="2">
                  <c:v>-5146</c:v>
                </c:pt>
                <c:pt idx="3">
                  <c:v>-4130</c:v>
                </c:pt>
                <c:pt idx="4">
                  <c:v>-2096</c:v>
                </c:pt>
                <c:pt idx="5">
                  <c:v>-1678</c:v>
                </c:pt>
                <c:pt idx="6">
                  <c:v>-328</c:v>
                </c:pt>
                <c:pt idx="7">
                  <c:v>-1556</c:v>
                </c:pt>
                <c:pt idx="8">
                  <c:v>702</c:v>
                </c:pt>
                <c:pt idx="9">
                  <c:v>2540</c:v>
                </c:pt>
                <c:pt idx="10">
                  <c:v>2852</c:v>
                </c:pt>
                <c:pt idx="11">
                  <c:v>1196</c:v>
                </c:pt>
                <c:pt idx="12">
                  <c:v>3338</c:v>
                </c:pt>
                <c:pt idx="13">
                  <c:v>4247</c:v>
                </c:pt>
                <c:pt idx="14">
                  <c:v>4014</c:v>
                </c:pt>
                <c:pt idx="15">
                  <c:v>5234</c:v>
                </c:pt>
              </c:numCache>
            </c:numRef>
          </c:yVal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Longley!$B$23:$B$38</c:f>
              <c:numCache>
                <c:formatCode>0.00</c:formatCode>
                <c:ptCount val="16"/>
                <c:pt idx="0">
                  <c:v>-18.681250000000006</c:v>
                </c:pt>
                <c:pt idx="1">
                  <c:v>-13.181250000000006</c:v>
                </c:pt>
                <c:pt idx="2">
                  <c:v>-13.481250000000003</c:v>
                </c:pt>
                <c:pt idx="3">
                  <c:v>-12.181250000000006</c:v>
                </c:pt>
                <c:pt idx="4">
                  <c:v>-5.4812500000000028</c:v>
                </c:pt>
                <c:pt idx="5">
                  <c:v>-3.5812500000000114</c:v>
                </c:pt>
                <c:pt idx="6">
                  <c:v>-2.6812500000000057</c:v>
                </c:pt>
                <c:pt idx="7">
                  <c:v>-1.6812500000000057</c:v>
                </c:pt>
                <c:pt idx="8">
                  <c:v>-0.48125000000000284</c:v>
                </c:pt>
                <c:pt idx="9">
                  <c:v>2.9187499999999886</c:v>
                </c:pt>
                <c:pt idx="10">
                  <c:v>6.71875</c:v>
                </c:pt>
                <c:pt idx="11">
                  <c:v>9.1187499999999915</c:v>
                </c:pt>
                <c:pt idx="12">
                  <c:v>10.918749999999989</c:v>
                </c:pt>
                <c:pt idx="13">
                  <c:v>12.518749999999997</c:v>
                </c:pt>
                <c:pt idx="14">
                  <c:v>14.018749999999997</c:v>
                </c:pt>
                <c:pt idx="15">
                  <c:v>15.21875</c:v>
                </c:pt>
              </c:numCache>
            </c:numRef>
          </c:xVal>
          <c:yVal>
            <c:numRef>
              <c:f>Longley!$K$55:$K$70</c:f>
              <c:numCache>
                <c:formatCode>General</c:formatCode>
                <c:ptCount val="16"/>
              </c:numCache>
            </c:numRef>
          </c:yVal>
        </c:ser>
        <c:axId val="164546048"/>
        <c:axId val="164548608"/>
      </c:scatterChart>
      <c:valAx>
        <c:axId val="1645460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1</a:t>
                </a:r>
              </a:p>
            </c:rich>
          </c:tx>
          <c:layout>
            <c:manualLayout>
              <c:xMode val="edge"/>
              <c:yMode val="edge"/>
              <c:x val="0.30468832020997377"/>
              <c:y val="0.82883261213969872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548608"/>
        <c:crosses val="autoZero"/>
        <c:crossBetween val="midCat"/>
      </c:valAx>
      <c:valAx>
        <c:axId val="1645486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Y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50450686907379816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5460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5000191382327208"/>
          <c:y val="0.43693882859237188"/>
          <c:w val="0.97916912729658789"/>
          <c:h val="0.63063346811378307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2 Line Fit  Plot</a:t>
            </a:r>
          </a:p>
        </c:rich>
      </c:tx>
      <c:layout>
        <c:manualLayout>
          <c:xMode val="edge"/>
          <c:yMode val="edge"/>
          <c:x val="0.24739583333333334"/>
          <c:y val="4.678362573099414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7187543710183997"/>
          <c:y val="0.35672718342918169"/>
          <c:w val="0.47916788525361442"/>
          <c:h val="0.35672718342918169"/>
        </c:manualLayout>
      </c:layout>
      <c:scatterChart>
        <c:scatterStyle val="lineMarker"/>
        <c:ser>
          <c:idx val="0"/>
          <c:order val="0"/>
          <c:tx>
            <c:v>Y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Longley!$C$23:$C$38</c:f>
              <c:numCache>
                <c:formatCode>0.00</c:formatCode>
                <c:ptCount val="16"/>
                <c:pt idx="0">
                  <c:v>-153409.4375</c:v>
                </c:pt>
                <c:pt idx="1">
                  <c:v>-128272.4375</c:v>
                </c:pt>
                <c:pt idx="2">
                  <c:v>-129644.4375</c:v>
                </c:pt>
                <c:pt idx="3">
                  <c:v>-103099.4375</c:v>
                </c:pt>
                <c:pt idx="4">
                  <c:v>-58723.4375</c:v>
                </c:pt>
                <c:pt idx="5">
                  <c:v>-40699.4375</c:v>
                </c:pt>
                <c:pt idx="6">
                  <c:v>-22313.4375</c:v>
                </c:pt>
                <c:pt idx="7">
                  <c:v>-24586.4375</c:v>
                </c:pt>
                <c:pt idx="8">
                  <c:v>9770.5625</c:v>
                </c:pt>
                <c:pt idx="9">
                  <c:v>31481.5625</c:v>
                </c:pt>
                <c:pt idx="10">
                  <c:v>55070.5625</c:v>
                </c:pt>
                <c:pt idx="11">
                  <c:v>56847.5625</c:v>
                </c:pt>
                <c:pt idx="12">
                  <c:v>95005.5625</c:v>
                </c:pt>
                <c:pt idx="13">
                  <c:v>114902.5625</c:v>
                </c:pt>
                <c:pt idx="14">
                  <c:v>130474.5625</c:v>
                </c:pt>
                <c:pt idx="15">
                  <c:v>167195.5625</c:v>
                </c:pt>
              </c:numCache>
            </c:numRef>
          </c:xVal>
          <c:yVal>
            <c:numRef>
              <c:f>Longley!$A$23:$A$38</c:f>
              <c:numCache>
                <c:formatCode>0.00</c:formatCode>
                <c:ptCount val="16"/>
                <c:pt idx="0">
                  <c:v>-4994</c:v>
                </c:pt>
                <c:pt idx="1">
                  <c:v>-4195</c:v>
                </c:pt>
                <c:pt idx="2">
                  <c:v>-5146</c:v>
                </c:pt>
                <c:pt idx="3">
                  <c:v>-4130</c:v>
                </c:pt>
                <c:pt idx="4">
                  <c:v>-2096</c:v>
                </c:pt>
                <c:pt idx="5">
                  <c:v>-1678</c:v>
                </c:pt>
                <c:pt idx="6">
                  <c:v>-328</c:v>
                </c:pt>
                <c:pt idx="7">
                  <c:v>-1556</c:v>
                </c:pt>
                <c:pt idx="8">
                  <c:v>702</c:v>
                </c:pt>
                <c:pt idx="9">
                  <c:v>2540</c:v>
                </c:pt>
                <c:pt idx="10">
                  <c:v>2852</c:v>
                </c:pt>
                <c:pt idx="11">
                  <c:v>1196</c:v>
                </c:pt>
                <c:pt idx="12">
                  <c:v>3338</c:v>
                </c:pt>
                <c:pt idx="13">
                  <c:v>4247</c:v>
                </c:pt>
                <c:pt idx="14">
                  <c:v>4014</c:v>
                </c:pt>
                <c:pt idx="15">
                  <c:v>5234</c:v>
                </c:pt>
              </c:numCache>
            </c:numRef>
          </c:yVal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Longley!$C$23:$C$38</c:f>
              <c:numCache>
                <c:formatCode>0.00</c:formatCode>
                <c:ptCount val="16"/>
                <c:pt idx="0">
                  <c:v>-153409.4375</c:v>
                </c:pt>
                <c:pt idx="1">
                  <c:v>-128272.4375</c:v>
                </c:pt>
                <c:pt idx="2">
                  <c:v>-129644.4375</c:v>
                </c:pt>
                <c:pt idx="3">
                  <c:v>-103099.4375</c:v>
                </c:pt>
                <c:pt idx="4">
                  <c:v>-58723.4375</c:v>
                </c:pt>
                <c:pt idx="5">
                  <c:v>-40699.4375</c:v>
                </c:pt>
                <c:pt idx="6">
                  <c:v>-22313.4375</c:v>
                </c:pt>
                <c:pt idx="7">
                  <c:v>-24586.4375</c:v>
                </c:pt>
                <c:pt idx="8">
                  <c:v>9770.5625</c:v>
                </c:pt>
                <c:pt idx="9">
                  <c:v>31481.5625</c:v>
                </c:pt>
                <c:pt idx="10">
                  <c:v>55070.5625</c:v>
                </c:pt>
                <c:pt idx="11">
                  <c:v>56847.5625</c:v>
                </c:pt>
                <c:pt idx="12">
                  <c:v>95005.5625</c:v>
                </c:pt>
                <c:pt idx="13">
                  <c:v>114902.5625</c:v>
                </c:pt>
                <c:pt idx="14">
                  <c:v>130474.5625</c:v>
                </c:pt>
                <c:pt idx="15">
                  <c:v>167195.5625</c:v>
                </c:pt>
              </c:numCache>
            </c:numRef>
          </c:xVal>
          <c:yVal>
            <c:numRef>
              <c:f>Longley!$K$55:$K$70</c:f>
              <c:numCache>
                <c:formatCode>General</c:formatCode>
                <c:ptCount val="16"/>
              </c:numCache>
            </c:numRef>
          </c:yVal>
        </c:ser>
        <c:axId val="164577664"/>
        <c:axId val="164579968"/>
      </c:scatterChart>
      <c:valAx>
        <c:axId val="164577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2</a:t>
                </a:r>
              </a:p>
            </c:rich>
          </c:tx>
          <c:layout>
            <c:manualLayout>
              <c:xMode val="edge"/>
              <c:yMode val="edge"/>
              <c:x val="0.30468832020997377"/>
              <c:y val="0.7777820754861782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579968"/>
        <c:crosses val="autoZero"/>
        <c:crossBetween val="midCat"/>
      </c:valAx>
      <c:valAx>
        <c:axId val="16457996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Y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4970790931835275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57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5000191382327208"/>
          <c:y val="0.40935918097957052"/>
          <c:w val="0.97916912729658789"/>
          <c:h val="0.6608223972003499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3 Line Fit  Plot</a:t>
            </a:r>
          </a:p>
        </c:rich>
      </c:tx>
      <c:layout>
        <c:manualLayout>
          <c:xMode val="edge"/>
          <c:yMode val="edge"/>
          <c:x val="0.30122950819672129"/>
          <c:y val="4.678362573099414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24590163934427"/>
          <c:y val="0.35672718342918169"/>
          <c:w val="0.5901639344262295"/>
          <c:h val="0.35672718342918169"/>
        </c:manualLayout>
      </c:layout>
      <c:scatterChart>
        <c:scatterStyle val="lineMarker"/>
        <c:ser>
          <c:idx val="0"/>
          <c:order val="0"/>
          <c:tx>
            <c:v>Y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Longley!$D$23:$D$38</c:f>
              <c:numCache>
                <c:formatCode>0.00</c:formatCode>
                <c:ptCount val="16"/>
                <c:pt idx="0">
                  <c:v>-837.3125</c:v>
                </c:pt>
                <c:pt idx="1">
                  <c:v>-868.3125</c:v>
                </c:pt>
                <c:pt idx="2">
                  <c:v>488.6875</c:v>
                </c:pt>
                <c:pt idx="3">
                  <c:v>157.6875</c:v>
                </c:pt>
                <c:pt idx="4">
                  <c:v>-1094.3125</c:v>
                </c:pt>
                <c:pt idx="5">
                  <c:v>-1261.3125</c:v>
                </c:pt>
                <c:pt idx="6">
                  <c:v>-1323.3125</c:v>
                </c:pt>
                <c:pt idx="7">
                  <c:v>384.6875</c:v>
                </c:pt>
                <c:pt idx="8">
                  <c:v>-289.3125</c:v>
                </c:pt>
                <c:pt idx="9">
                  <c:v>-371.3125</c:v>
                </c:pt>
                <c:pt idx="10">
                  <c:v>-257.3125</c:v>
                </c:pt>
                <c:pt idx="11">
                  <c:v>1487.6875</c:v>
                </c:pt>
                <c:pt idx="12">
                  <c:v>619.6875</c:v>
                </c:pt>
                <c:pt idx="13">
                  <c:v>737.6875</c:v>
                </c:pt>
                <c:pt idx="14">
                  <c:v>1612.6875</c:v>
                </c:pt>
                <c:pt idx="15">
                  <c:v>813.6875</c:v>
                </c:pt>
              </c:numCache>
            </c:numRef>
          </c:xVal>
          <c:yVal>
            <c:numRef>
              <c:f>Longley!$A$23:$A$38</c:f>
              <c:numCache>
                <c:formatCode>0.00</c:formatCode>
                <c:ptCount val="16"/>
                <c:pt idx="0">
                  <c:v>-4994</c:v>
                </c:pt>
                <c:pt idx="1">
                  <c:v>-4195</c:v>
                </c:pt>
                <c:pt idx="2">
                  <c:v>-5146</c:v>
                </c:pt>
                <c:pt idx="3">
                  <c:v>-4130</c:v>
                </c:pt>
                <c:pt idx="4">
                  <c:v>-2096</c:v>
                </c:pt>
                <c:pt idx="5">
                  <c:v>-1678</c:v>
                </c:pt>
                <c:pt idx="6">
                  <c:v>-328</c:v>
                </c:pt>
                <c:pt idx="7">
                  <c:v>-1556</c:v>
                </c:pt>
                <c:pt idx="8">
                  <c:v>702</c:v>
                </c:pt>
                <c:pt idx="9">
                  <c:v>2540</c:v>
                </c:pt>
                <c:pt idx="10">
                  <c:v>2852</c:v>
                </c:pt>
                <c:pt idx="11">
                  <c:v>1196</c:v>
                </c:pt>
                <c:pt idx="12">
                  <c:v>3338</c:v>
                </c:pt>
                <c:pt idx="13">
                  <c:v>4247</c:v>
                </c:pt>
                <c:pt idx="14">
                  <c:v>4014</c:v>
                </c:pt>
                <c:pt idx="15">
                  <c:v>5234</c:v>
                </c:pt>
              </c:numCache>
            </c:numRef>
          </c:yVal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Longley!$D$23:$D$38</c:f>
              <c:numCache>
                <c:formatCode>0.00</c:formatCode>
                <c:ptCount val="16"/>
                <c:pt idx="0">
                  <c:v>-837.3125</c:v>
                </c:pt>
                <c:pt idx="1">
                  <c:v>-868.3125</c:v>
                </c:pt>
                <c:pt idx="2">
                  <c:v>488.6875</c:v>
                </c:pt>
                <c:pt idx="3">
                  <c:v>157.6875</c:v>
                </c:pt>
                <c:pt idx="4">
                  <c:v>-1094.3125</c:v>
                </c:pt>
                <c:pt idx="5">
                  <c:v>-1261.3125</c:v>
                </c:pt>
                <c:pt idx="6">
                  <c:v>-1323.3125</c:v>
                </c:pt>
                <c:pt idx="7">
                  <c:v>384.6875</c:v>
                </c:pt>
                <c:pt idx="8">
                  <c:v>-289.3125</c:v>
                </c:pt>
                <c:pt idx="9">
                  <c:v>-371.3125</c:v>
                </c:pt>
                <c:pt idx="10">
                  <c:v>-257.3125</c:v>
                </c:pt>
                <c:pt idx="11">
                  <c:v>1487.6875</c:v>
                </c:pt>
                <c:pt idx="12">
                  <c:v>619.6875</c:v>
                </c:pt>
                <c:pt idx="13">
                  <c:v>737.6875</c:v>
                </c:pt>
                <c:pt idx="14">
                  <c:v>1612.6875</c:v>
                </c:pt>
                <c:pt idx="15">
                  <c:v>813.6875</c:v>
                </c:pt>
              </c:numCache>
            </c:numRef>
          </c:xVal>
          <c:yVal>
            <c:numRef>
              <c:f>Longley!$K$55:$K$70</c:f>
              <c:numCache>
                <c:formatCode>General</c:formatCode>
                <c:ptCount val="16"/>
              </c:numCache>
            </c:numRef>
          </c:yVal>
        </c:ser>
        <c:axId val="164621312"/>
        <c:axId val="164623872"/>
      </c:scatterChart>
      <c:valAx>
        <c:axId val="1646213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3</a:t>
                </a:r>
              </a:p>
            </c:rich>
          </c:tx>
          <c:layout>
            <c:manualLayout>
              <c:xMode val="edge"/>
              <c:yMode val="edge"/>
              <c:x val="0.34631147540983609"/>
              <c:y val="0.7777820754861782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623872"/>
        <c:crosses val="autoZero"/>
        <c:crossBetween val="midCat"/>
      </c:valAx>
      <c:valAx>
        <c:axId val="1646238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Y</a:t>
                </a:r>
              </a:p>
            </c:rich>
          </c:tx>
          <c:layout>
            <c:manualLayout>
              <c:xMode val="edge"/>
              <c:yMode val="edge"/>
              <c:x val="3.2786885245901641E-2"/>
              <c:y val="0.4970790931835275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621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0327868852459017"/>
          <c:y val="0.40935918097957052"/>
          <c:w val="0.98360655737704916"/>
          <c:h val="0.6608223972003499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4 Line Fit  Plot</a:t>
            </a:r>
          </a:p>
        </c:rich>
      </c:tx>
      <c:layout>
        <c:manualLayout>
          <c:xMode val="edge"/>
          <c:yMode val="edge"/>
          <c:x val="0.32616487455197135"/>
          <c:y val="4.678362573099414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827977689533087"/>
          <c:y val="0.35672718342918169"/>
          <c:w val="0.64157818376558262"/>
          <c:h val="0.35672718342918169"/>
        </c:manualLayout>
      </c:layout>
      <c:scatterChart>
        <c:scatterStyle val="lineMarker"/>
        <c:ser>
          <c:idx val="0"/>
          <c:order val="0"/>
          <c:tx>
            <c:v>Y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Longley!$E$23:$E$38</c:f>
              <c:numCache>
                <c:formatCode>0.00</c:formatCode>
                <c:ptCount val="16"/>
                <c:pt idx="0">
                  <c:v>-1016.6875</c:v>
                </c:pt>
                <c:pt idx="1">
                  <c:v>-1150.6875</c:v>
                </c:pt>
                <c:pt idx="2">
                  <c:v>-990.6875</c:v>
                </c:pt>
                <c:pt idx="3">
                  <c:v>-956.6875</c:v>
                </c:pt>
                <c:pt idx="4">
                  <c:v>492.3125</c:v>
                </c:pt>
                <c:pt idx="5">
                  <c:v>987.3125</c:v>
                </c:pt>
                <c:pt idx="6">
                  <c:v>940.3125</c:v>
                </c:pt>
                <c:pt idx="7">
                  <c:v>743.3125</c:v>
                </c:pt>
                <c:pt idx="8">
                  <c:v>441.3125</c:v>
                </c:pt>
                <c:pt idx="9">
                  <c:v>250.3125</c:v>
                </c:pt>
                <c:pt idx="10">
                  <c:v>191.3125</c:v>
                </c:pt>
                <c:pt idx="11">
                  <c:v>30.3125</c:v>
                </c:pt>
                <c:pt idx="12">
                  <c:v>-54.6875</c:v>
                </c:pt>
                <c:pt idx="13">
                  <c:v>-92.6875</c:v>
                </c:pt>
                <c:pt idx="14">
                  <c:v>-34.6875</c:v>
                </c:pt>
                <c:pt idx="15">
                  <c:v>220.3125</c:v>
                </c:pt>
              </c:numCache>
            </c:numRef>
          </c:xVal>
          <c:yVal>
            <c:numRef>
              <c:f>Longley!$A$23:$A$38</c:f>
              <c:numCache>
                <c:formatCode>0.00</c:formatCode>
                <c:ptCount val="16"/>
                <c:pt idx="0">
                  <c:v>-4994</c:v>
                </c:pt>
                <c:pt idx="1">
                  <c:v>-4195</c:v>
                </c:pt>
                <c:pt idx="2">
                  <c:v>-5146</c:v>
                </c:pt>
                <c:pt idx="3">
                  <c:v>-4130</c:v>
                </c:pt>
                <c:pt idx="4">
                  <c:v>-2096</c:v>
                </c:pt>
                <c:pt idx="5">
                  <c:v>-1678</c:v>
                </c:pt>
                <c:pt idx="6">
                  <c:v>-328</c:v>
                </c:pt>
                <c:pt idx="7">
                  <c:v>-1556</c:v>
                </c:pt>
                <c:pt idx="8">
                  <c:v>702</c:v>
                </c:pt>
                <c:pt idx="9">
                  <c:v>2540</c:v>
                </c:pt>
                <c:pt idx="10">
                  <c:v>2852</c:v>
                </c:pt>
                <c:pt idx="11">
                  <c:v>1196</c:v>
                </c:pt>
                <c:pt idx="12">
                  <c:v>3338</c:v>
                </c:pt>
                <c:pt idx="13">
                  <c:v>4247</c:v>
                </c:pt>
                <c:pt idx="14">
                  <c:v>4014</c:v>
                </c:pt>
                <c:pt idx="15">
                  <c:v>5234</c:v>
                </c:pt>
              </c:numCache>
            </c:numRef>
          </c:yVal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Longley!$E$23:$E$38</c:f>
              <c:numCache>
                <c:formatCode>0.00</c:formatCode>
                <c:ptCount val="16"/>
                <c:pt idx="0">
                  <c:v>-1016.6875</c:v>
                </c:pt>
                <c:pt idx="1">
                  <c:v>-1150.6875</c:v>
                </c:pt>
                <c:pt idx="2">
                  <c:v>-990.6875</c:v>
                </c:pt>
                <c:pt idx="3">
                  <c:v>-956.6875</c:v>
                </c:pt>
                <c:pt idx="4">
                  <c:v>492.3125</c:v>
                </c:pt>
                <c:pt idx="5">
                  <c:v>987.3125</c:v>
                </c:pt>
                <c:pt idx="6">
                  <c:v>940.3125</c:v>
                </c:pt>
                <c:pt idx="7">
                  <c:v>743.3125</c:v>
                </c:pt>
                <c:pt idx="8">
                  <c:v>441.3125</c:v>
                </c:pt>
                <c:pt idx="9">
                  <c:v>250.3125</c:v>
                </c:pt>
                <c:pt idx="10">
                  <c:v>191.3125</c:v>
                </c:pt>
                <c:pt idx="11">
                  <c:v>30.3125</c:v>
                </c:pt>
                <c:pt idx="12">
                  <c:v>-54.6875</c:v>
                </c:pt>
                <c:pt idx="13">
                  <c:v>-92.6875</c:v>
                </c:pt>
                <c:pt idx="14">
                  <c:v>-34.6875</c:v>
                </c:pt>
                <c:pt idx="15">
                  <c:v>220.3125</c:v>
                </c:pt>
              </c:numCache>
            </c:numRef>
          </c:xVal>
          <c:yVal>
            <c:numRef>
              <c:f>Longley!$K$55:$K$70</c:f>
              <c:numCache>
                <c:formatCode>General</c:formatCode>
                <c:ptCount val="16"/>
              </c:numCache>
            </c:numRef>
          </c:yVal>
        </c:ser>
        <c:axId val="164669312"/>
        <c:axId val="164692352"/>
      </c:scatterChart>
      <c:valAx>
        <c:axId val="1646693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4</a:t>
                </a:r>
              </a:p>
            </c:rich>
          </c:tx>
          <c:layout>
            <c:manualLayout>
              <c:xMode val="edge"/>
              <c:yMode val="edge"/>
              <c:x val="0.36559196229503566"/>
              <c:y val="0.7777820754861782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692352"/>
        <c:crosses val="autoZero"/>
        <c:crossBetween val="midCat"/>
      </c:valAx>
      <c:valAx>
        <c:axId val="1646923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Y</a:t>
                </a:r>
              </a:p>
            </c:rich>
          </c:tx>
          <c:layout>
            <c:manualLayout>
              <c:xMode val="edge"/>
              <c:yMode val="edge"/>
              <c:x val="2.8673835125448029E-2"/>
              <c:y val="0.4970790931835275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669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2795849443550729"/>
          <c:y val="0.40935918097957052"/>
          <c:w val="0.98566477577399592"/>
          <c:h val="0.6608223972003499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5 Line Fit  Plot</a:t>
            </a:r>
          </a:p>
        </c:rich>
      </c:tx>
      <c:layout>
        <c:manualLayout>
          <c:xMode val="edge"/>
          <c:yMode val="edge"/>
          <c:x val="0.35745937961595275"/>
          <c:y val="4.705882352941176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192023633677991"/>
          <c:y val="0.35882352941176471"/>
          <c:w val="0.69571639586410639"/>
          <c:h val="0.35294117647058826"/>
        </c:manualLayout>
      </c:layout>
      <c:scatterChart>
        <c:scatterStyle val="lineMarker"/>
        <c:ser>
          <c:idx val="0"/>
          <c:order val="0"/>
          <c:tx>
            <c:v>Y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Longley!$F$23:$F$38</c:f>
              <c:numCache>
                <c:formatCode>0.00</c:formatCode>
                <c:ptCount val="16"/>
                <c:pt idx="0">
                  <c:v>-9816</c:v>
                </c:pt>
                <c:pt idx="1">
                  <c:v>-8792</c:v>
                </c:pt>
                <c:pt idx="2">
                  <c:v>-7651</c:v>
                </c:pt>
                <c:pt idx="3">
                  <c:v>-6495</c:v>
                </c:pt>
                <c:pt idx="4">
                  <c:v>-5349</c:v>
                </c:pt>
                <c:pt idx="5">
                  <c:v>-4154</c:v>
                </c:pt>
                <c:pt idx="6">
                  <c:v>-2330</c:v>
                </c:pt>
                <c:pt idx="7">
                  <c:v>-1205</c:v>
                </c:pt>
                <c:pt idx="8">
                  <c:v>-36</c:v>
                </c:pt>
                <c:pt idx="9">
                  <c:v>1310</c:v>
                </c:pt>
                <c:pt idx="10">
                  <c:v>3021</c:v>
                </c:pt>
                <c:pt idx="11">
                  <c:v>4526</c:v>
                </c:pt>
                <c:pt idx="12">
                  <c:v>5942</c:v>
                </c:pt>
                <c:pt idx="13">
                  <c:v>7944</c:v>
                </c:pt>
                <c:pt idx="14">
                  <c:v>10428</c:v>
                </c:pt>
                <c:pt idx="15">
                  <c:v>12657</c:v>
                </c:pt>
              </c:numCache>
            </c:numRef>
          </c:xVal>
          <c:yVal>
            <c:numRef>
              <c:f>Longley!$A$23:$A$38</c:f>
              <c:numCache>
                <c:formatCode>0.00</c:formatCode>
                <c:ptCount val="16"/>
                <c:pt idx="0">
                  <c:v>-4994</c:v>
                </c:pt>
                <c:pt idx="1">
                  <c:v>-4195</c:v>
                </c:pt>
                <c:pt idx="2">
                  <c:v>-5146</c:v>
                </c:pt>
                <c:pt idx="3">
                  <c:v>-4130</c:v>
                </c:pt>
                <c:pt idx="4">
                  <c:v>-2096</c:v>
                </c:pt>
                <c:pt idx="5">
                  <c:v>-1678</c:v>
                </c:pt>
                <c:pt idx="6">
                  <c:v>-328</c:v>
                </c:pt>
                <c:pt idx="7">
                  <c:v>-1556</c:v>
                </c:pt>
                <c:pt idx="8">
                  <c:v>702</c:v>
                </c:pt>
                <c:pt idx="9">
                  <c:v>2540</c:v>
                </c:pt>
                <c:pt idx="10">
                  <c:v>2852</c:v>
                </c:pt>
                <c:pt idx="11">
                  <c:v>1196</c:v>
                </c:pt>
                <c:pt idx="12">
                  <c:v>3338</c:v>
                </c:pt>
                <c:pt idx="13">
                  <c:v>4247</c:v>
                </c:pt>
                <c:pt idx="14">
                  <c:v>4014</c:v>
                </c:pt>
                <c:pt idx="15">
                  <c:v>5234</c:v>
                </c:pt>
              </c:numCache>
            </c:numRef>
          </c:yVal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Longley!$F$23:$F$38</c:f>
              <c:numCache>
                <c:formatCode>0.00</c:formatCode>
                <c:ptCount val="16"/>
                <c:pt idx="0">
                  <c:v>-9816</c:v>
                </c:pt>
                <c:pt idx="1">
                  <c:v>-8792</c:v>
                </c:pt>
                <c:pt idx="2">
                  <c:v>-7651</c:v>
                </c:pt>
                <c:pt idx="3">
                  <c:v>-6495</c:v>
                </c:pt>
                <c:pt idx="4">
                  <c:v>-5349</c:v>
                </c:pt>
                <c:pt idx="5">
                  <c:v>-4154</c:v>
                </c:pt>
                <c:pt idx="6">
                  <c:v>-2330</c:v>
                </c:pt>
                <c:pt idx="7">
                  <c:v>-1205</c:v>
                </c:pt>
                <c:pt idx="8">
                  <c:v>-36</c:v>
                </c:pt>
                <c:pt idx="9">
                  <c:v>1310</c:v>
                </c:pt>
                <c:pt idx="10">
                  <c:v>3021</c:v>
                </c:pt>
                <c:pt idx="11">
                  <c:v>4526</c:v>
                </c:pt>
                <c:pt idx="12">
                  <c:v>5942</c:v>
                </c:pt>
                <c:pt idx="13">
                  <c:v>7944</c:v>
                </c:pt>
                <c:pt idx="14">
                  <c:v>10428</c:v>
                </c:pt>
                <c:pt idx="15">
                  <c:v>12657</c:v>
                </c:pt>
              </c:numCache>
            </c:numRef>
          </c:xVal>
          <c:yVal>
            <c:numRef>
              <c:f>Longley!$K$55:$K$70</c:f>
              <c:numCache>
                <c:formatCode>General</c:formatCode>
                <c:ptCount val="16"/>
              </c:numCache>
            </c:numRef>
          </c:yVal>
        </c:ser>
        <c:axId val="164754176"/>
        <c:axId val="164756480"/>
      </c:scatterChart>
      <c:valAx>
        <c:axId val="1647541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5</a:t>
                </a:r>
              </a:p>
            </c:rich>
          </c:tx>
          <c:layout>
            <c:manualLayout>
              <c:xMode val="edge"/>
              <c:yMode val="edge"/>
              <c:x val="0.38847858197932056"/>
              <c:y val="0.77647058823529413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56480"/>
        <c:crosses val="autoZero"/>
        <c:crossBetween val="midCat"/>
      </c:valAx>
      <c:valAx>
        <c:axId val="1647564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Y</a:t>
                </a:r>
              </a:p>
            </c:rich>
          </c:tx>
          <c:layout>
            <c:manualLayout>
              <c:xMode val="edge"/>
              <c:yMode val="edge"/>
              <c:x val="2.3633677991137372E-2"/>
              <c:y val="0.5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54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5819793205317574"/>
          <c:y val="0.41176470588235292"/>
          <c:w val="0.98818316100443127"/>
          <c:h val="0.66470588235294115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2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X Variable 6 Line Fit  Plot</a:t>
            </a:r>
          </a:p>
        </c:rich>
      </c:tx>
      <c:layout>
        <c:manualLayout>
          <c:xMode val="edge"/>
          <c:yMode val="edge"/>
          <c:x val="0.24756606397774686"/>
          <c:y val="2.953586497890295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795549374130738"/>
          <c:y val="0.22362915271697142"/>
          <c:w val="0.57023643949930458"/>
          <c:h val="0.60970589750193149"/>
        </c:manualLayout>
      </c:layout>
      <c:scatterChart>
        <c:scatterStyle val="lineMarker"/>
        <c:ser>
          <c:idx val="0"/>
          <c:order val="0"/>
          <c:tx>
            <c:v>Y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Longley!$G$23:$G$38</c:f>
              <c:numCache>
                <c:formatCode>0.0</c:formatCode>
                <c:ptCount val="16"/>
                <c:pt idx="0">
                  <c:v>-7.5</c:v>
                </c:pt>
                <c:pt idx="1">
                  <c:v>-6.5</c:v>
                </c:pt>
                <c:pt idx="2">
                  <c:v>-5.5</c:v>
                </c:pt>
                <c:pt idx="3">
                  <c:v>-4.5</c:v>
                </c:pt>
                <c:pt idx="4">
                  <c:v>-3.5</c:v>
                </c:pt>
                <c:pt idx="5">
                  <c:v>-2.5</c:v>
                </c:pt>
                <c:pt idx="6">
                  <c:v>-1.5</c:v>
                </c:pt>
                <c:pt idx="7">
                  <c:v>-0.5</c:v>
                </c:pt>
                <c:pt idx="8">
                  <c:v>0.5</c:v>
                </c:pt>
                <c:pt idx="9">
                  <c:v>1.5</c:v>
                </c:pt>
                <c:pt idx="10">
                  <c:v>2.5</c:v>
                </c:pt>
                <c:pt idx="11">
                  <c:v>3.5</c:v>
                </c:pt>
                <c:pt idx="12">
                  <c:v>4.5</c:v>
                </c:pt>
                <c:pt idx="13">
                  <c:v>5.5</c:v>
                </c:pt>
                <c:pt idx="14">
                  <c:v>6.5</c:v>
                </c:pt>
                <c:pt idx="15">
                  <c:v>7.5</c:v>
                </c:pt>
              </c:numCache>
            </c:numRef>
          </c:xVal>
          <c:yVal>
            <c:numRef>
              <c:f>Longley!$A$23:$A$38</c:f>
              <c:numCache>
                <c:formatCode>0.00</c:formatCode>
                <c:ptCount val="16"/>
                <c:pt idx="0">
                  <c:v>-4994</c:v>
                </c:pt>
                <c:pt idx="1">
                  <c:v>-4195</c:v>
                </c:pt>
                <c:pt idx="2">
                  <c:v>-5146</c:v>
                </c:pt>
                <c:pt idx="3">
                  <c:v>-4130</c:v>
                </c:pt>
                <c:pt idx="4">
                  <c:v>-2096</c:v>
                </c:pt>
                <c:pt idx="5">
                  <c:v>-1678</c:v>
                </c:pt>
                <c:pt idx="6">
                  <c:v>-328</c:v>
                </c:pt>
                <c:pt idx="7">
                  <c:v>-1556</c:v>
                </c:pt>
                <c:pt idx="8">
                  <c:v>702</c:v>
                </c:pt>
                <c:pt idx="9">
                  <c:v>2540</c:v>
                </c:pt>
                <c:pt idx="10">
                  <c:v>2852</c:v>
                </c:pt>
                <c:pt idx="11">
                  <c:v>1196</c:v>
                </c:pt>
                <c:pt idx="12">
                  <c:v>3338</c:v>
                </c:pt>
                <c:pt idx="13">
                  <c:v>4247</c:v>
                </c:pt>
                <c:pt idx="14">
                  <c:v>4014</c:v>
                </c:pt>
                <c:pt idx="15">
                  <c:v>5234</c:v>
                </c:pt>
              </c:numCache>
            </c:numRef>
          </c:yVal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Longley!$G$23:$G$38</c:f>
              <c:numCache>
                <c:formatCode>0.0</c:formatCode>
                <c:ptCount val="16"/>
                <c:pt idx="0">
                  <c:v>-7.5</c:v>
                </c:pt>
                <c:pt idx="1">
                  <c:v>-6.5</c:v>
                </c:pt>
                <c:pt idx="2">
                  <c:v>-5.5</c:v>
                </c:pt>
                <c:pt idx="3">
                  <c:v>-4.5</c:v>
                </c:pt>
                <c:pt idx="4">
                  <c:v>-3.5</c:v>
                </c:pt>
                <c:pt idx="5">
                  <c:v>-2.5</c:v>
                </c:pt>
                <c:pt idx="6">
                  <c:v>-1.5</c:v>
                </c:pt>
                <c:pt idx="7">
                  <c:v>-0.5</c:v>
                </c:pt>
                <c:pt idx="8">
                  <c:v>0.5</c:v>
                </c:pt>
                <c:pt idx="9">
                  <c:v>1.5</c:v>
                </c:pt>
                <c:pt idx="10">
                  <c:v>2.5</c:v>
                </c:pt>
                <c:pt idx="11">
                  <c:v>3.5</c:v>
                </c:pt>
                <c:pt idx="12">
                  <c:v>4.5</c:v>
                </c:pt>
                <c:pt idx="13">
                  <c:v>5.5</c:v>
                </c:pt>
                <c:pt idx="14">
                  <c:v>6.5</c:v>
                </c:pt>
                <c:pt idx="15">
                  <c:v>7.5</c:v>
                </c:pt>
              </c:numCache>
            </c:numRef>
          </c:xVal>
          <c:yVal>
            <c:numRef>
              <c:f>Longley!$K$55:$K$70</c:f>
              <c:numCache>
                <c:formatCode>General</c:formatCode>
                <c:ptCount val="16"/>
              </c:numCache>
            </c:numRef>
          </c:yVal>
        </c:ser>
        <c:axId val="164777344"/>
        <c:axId val="164779904"/>
      </c:scatterChart>
      <c:valAx>
        <c:axId val="164777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 Variable 6</a:t>
                </a:r>
              </a:p>
            </c:rich>
          </c:tx>
          <c:layout>
            <c:manualLayout>
              <c:xMode val="edge"/>
              <c:yMode val="edge"/>
              <c:x val="0.30876216968011128"/>
              <c:y val="0.87552919809074492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79904"/>
        <c:crosses val="autoZero"/>
        <c:crossBetween val="midCat"/>
      </c:valAx>
      <c:valAx>
        <c:axId val="16477990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Y</a:t>
                </a:r>
              </a:p>
            </c:rich>
          </c:tx>
          <c:layout>
            <c:manualLayout>
              <c:xMode val="edge"/>
              <c:yMode val="edge"/>
              <c:x val="2.2253129346314324E-2"/>
              <c:y val="0.50211081209785491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773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5799721835883171"/>
          <c:y val="0.45569708849684926"/>
          <c:w val="0.9888734353268428"/>
          <c:h val="0.6012669302413147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GNP Deflator  Residual Plot</a:t>
            </a:r>
          </a:p>
        </c:rich>
      </c:tx>
      <c:layout>
        <c:manualLayout>
          <c:xMode val="edge"/>
          <c:yMode val="edge"/>
          <c:x val="0.32459016393442625"/>
          <c:y val="4.347826086956521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459026366408144"/>
          <c:y val="0.30434926191341105"/>
          <c:w val="0.81803344168916636"/>
          <c:h val="0.45893936320276268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xVal>
          <c:yVal>
            <c:numRef>
              <c:f>Longley!$K$30:$K$45</c:f>
              <c:numCache>
                <c:formatCode>General</c:formatCode>
                <c:ptCount val="16"/>
                <c:pt idx="0">
                  <c:v>267.34002976026386</c:v>
                </c:pt>
                <c:pt idx="1">
                  <c:v>-94.013942398596555</c:v>
                </c:pt>
                <c:pt idx="2">
                  <c:v>46.287167758215219</c:v>
                </c:pt>
                <c:pt idx="3">
                  <c:v>-410.11462193122134</c:v>
                </c:pt>
                <c:pt idx="4">
                  <c:v>309.71459076041356</c:v>
                </c:pt>
                <c:pt idx="5">
                  <c:v>-249.31121532944962</c:v>
                </c:pt>
                <c:pt idx="6">
                  <c:v>-164.04895639559254</c:v>
                </c:pt>
                <c:pt idx="7">
                  <c:v>-13.180356866214424</c:v>
                </c:pt>
                <c:pt idx="8">
                  <c:v>14.304772599600255</c:v>
                </c:pt>
                <c:pt idx="9">
                  <c:v>455.39409455191344</c:v>
                </c:pt>
                <c:pt idx="10">
                  <c:v>-17.268927114550024</c:v>
                </c:pt>
                <c:pt idx="11">
                  <c:v>-39.055042522959411</c:v>
                </c:pt>
                <c:pt idx="12">
                  <c:v>-155.54997359542176</c:v>
                </c:pt>
                <c:pt idx="13">
                  <c:v>-85.671308041550219</c:v>
                </c:pt>
                <c:pt idx="14">
                  <c:v>341.93151396140456</c:v>
                </c:pt>
                <c:pt idx="15">
                  <c:v>-206.75782519346103</c:v>
                </c:pt>
              </c:numCache>
            </c:numRef>
          </c:yVal>
        </c:ser>
        <c:axId val="164807040"/>
        <c:axId val="164809344"/>
      </c:scatterChart>
      <c:valAx>
        <c:axId val="1648070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GNP Deflator</a:t>
                </a:r>
              </a:p>
            </c:rich>
          </c:tx>
          <c:layout>
            <c:manualLayout>
              <c:xMode val="edge"/>
              <c:yMode val="edge"/>
              <c:x val="0.46229542618648078"/>
              <c:y val="0.81642917823677841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809344"/>
        <c:crosses val="autoZero"/>
        <c:crossBetween val="midCat"/>
      </c:valAx>
      <c:valAx>
        <c:axId val="1648093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2.6229508196721311E-2"/>
              <c:y val="0.376813622934814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807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Gross National Product  Residual Plot</a:t>
            </a:r>
          </a:p>
        </c:rich>
      </c:tx>
      <c:layout>
        <c:manualLayout>
          <c:xMode val="edge"/>
          <c:yMode val="edge"/>
          <c:x val="0.2504288164665523"/>
          <c:y val="4.651162790697674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036031501286033"/>
          <c:y val="0.36046613958637919"/>
          <c:w val="0.79759929580236899"/>
          <c:h val="0.3546521695930505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Longley!$C$2:$C$17</c:f>
              <c:numCache>
                <c:formatCode>0.0</c:formatCode>
                <c:ptCount val="16"/>
                <c:pt idx="0">
                  <c:v>234289</c:v>
                </c:pt>
                <c:pt idx="1">
                  <c:v>259426</c:v>
                </c:pt>
                <c:pt idx="2">
                  <c:v>258054</c:v>
                </c:pt>
                <c:pt idx="3">
                  <c:v>284599</c:v>
                </c:pt>
                <c:pt idx="4">
                  <c:v>328975</c:v>
                </c:pt>
                <c:pt idx="5">
                  <c:v>346999</c:v>
                </c:pt>
                <c:pt idx="6">
                  <c:v>365385</c:v>
                </c:pt>
                <c:pt idx="7">
                  <c:v>363112</c:v>
                </c:pt>
                <c:pt idx="8">
                  <c:v>397469</c:v>
                </c:pt>
                <c:pt idx="9">
                  <c:v>419180</c:v>
                </c:pt>
                <c:pt idx="10">
                  <c:v>442769</c:v>
                </c:pt>
                <c:pt idx="11">
                  <c:v>444546</c:v>
                </c:pt>
                <c:pt idx="12">
                  <c:v>482704</c:v>
                </c:pt>
                <c:pt idx="13">
                  <c:v>502601</c:v>
                </c:pt>
                <c:pt idx="14">
                  <c:v>518173</c:v>
                </c:pt>
                <c:pt idx="15">
                  <c:v>554894</c:v>
                </c:pt>
              </c:numCache>
            </c:numRef>
          </c:xVal>
          <c:yVal>
            <c:numRef>
              <c:f>Longley!$K$30:$K$45</c:f>
              <c:numCache>
                <c:formatCode>General</c:formatCode>
                <c:ptCount val="16"/>
                <c:pt idx="0">
                  <c:v>267.34002976026386</c:v>
                </c:pt>
                <c:pt idx="1">
                  <c:v>-94.013942398596555</c:v>
                </c:pt>
                <c:pt idx="2">
                  <c:v>46.287167758215219</c:v>
                </c:pt>
                <c:pt idx="3">
                  <c:v>-410.11462193122134</c:v>
                </c:pt>
                <c:pt idx="4">
                  <c:v>309.71459076041356</c:v>
                </c:pt>
                <c:pt idx="5">
                  <c:v>-249.31121532944962</c:v>
                </c:pt>
                <c:pt idx="6">
                  <c:v>-164.04895639559254</c:v>
                </c:pt>
                <c:pt idx="7">
                  <c:v>-13.180356866214424</c:v>
                </c:pt>
                <c:pt idx="8">
                  <c:v>14.304772599600255</c:v>
                </c:pt>
                <c:pt idx="9">
                  <c:v>455.39409455191344</c:v>
                </c:pt>
                <c:pt idx="10">
                  <c:v>-17.268927114550024</c:v>
                </c:pt>
                <c:pt idx="11">
                  <c:v>-39.055042522959411</c:v>
                </c:pt>
                <c:pt idx="12">
                  <c:v>-155.54997359542176</c:v>
                </c:pt>
                <c:pt idx="13">
                  <c:v>-85.671308041550219</c:v>
                </c:pt>
                <c:pt idx="14">
                  <c:v>341.93151396140456</c:v>
                </c:pt>
                <c:pt idx="15">
                  <c:v>-206.75782519346103</c:v>
                </c:pt>
              </c:numCache>
            </c:numRef>
          </c:yVal>
        </c:ser>
        <c:axId val="164853632"/>
        <c:axId val="164856192"/>
      </c:scatterChart>
      <c:valAx>
        <c:axId val="1648536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Gross National Product</a:t>
                </a:r>
              </a:p>
            </c:rich>
          </c:tx>
          <c:layout>
            <c:manualLayout>
              <c:xMode val="edge"/>
              <c:yMode val="edge"/>
              <c:x val="0.4013725728537792"/>
              <c:y val="0.77907220899713114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856192"/>
        <c:crosses val="autoZero"/>
        <c:crossBetween val="midCat"/>
      </c:valAx>
      <c:valAx>
        <c:axId val="1648561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2.7444253859348199E-2"/>
              <c:y val="0.3488384300799609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853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Unemployment  Residual Plot</a:t>
            </a:r>
          </a:p>
        </c:rich>
      </c:tx>
      <c:layout>
        <c:manualLayout>
          <c:xMode val="edge"/>
          <c:yMode val="edge"/>
          <c:x val="0.30240549828178692"/>
          <c:y val="4.624277456647398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058441155298867"/>
          <c:y val="0.3583815028901734"/>
          <c:w val="0.80927970844023245"/>
          <c:h val="0.3583815028901734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Longley!$D$2:$D$17</c:f>
              <c:numCache>
                <c:formatCode>0.0</c:formatCode>
                <c:ptCount val="16"/>
                <c:pt idx="0">
                  <c:v>2356</c:v>
                </c:pt>
                <c:pt idx="1">
                  <c:v>2325</c:v>
                </c:pt>
                <c:pt idx="2">
                  <c:v>3682</c:v>
                </c:pt>
                <c:pt idx="3">
                  <c:v>3351</c:v>
                </c:pt>
                <c:pt idx="4">
                  <c:v>2099</c:v>
                </c:pt>
                <c:pt idx="5">
                  <c:v>1932</c:v>
                </c:pt>
                <c:pt idx="6">
                  <c:v>1870</c:v>
                </c:pt>
                <c:pt idx="7">
                  <c:v>3578</c:v>
                </c:pt>
                <c:pt idx="8">
                  <c:v>2904</c:v>
                </c:pt>
                <c:pt idx="9">
                  <c:v>2822</c:v>
                </c:pt>
                <c:pt idx="10">
                  <c:v>2936</c:v>
                </c:pt>
                <c:pt idx="11">
                  <c:v>4681</c:v>
                </c:pt>
                <c:pt idx="12">
                  <c:v>3813</c:v>
                </c:pt>
                <c:pt idx="13">
                  <c:v>3931</c:v>
                </c:pt>
                <c:pt idx="14">
                  <c:v>4806</c:v>
                </c:pt>
                <c:pt idx="15">
                  <c:v>4007</c:v>
                </c:pt>
              </c:numCache>
            </c:numRef>
          </c:xVal>
          <c:yVal>
            <c:numRef>
              <c:f>Longley!$K$30:$K$45</c:f>
              <c:numCache>
                <c:formatCode>General</c:formatCode>
                <c:ptCount val="16"/>
                <c:pt idx="0">
                  <c:v>267.34002976026386</c:v>
                </c:pt>
                <c:pt idx="1">
                  <c:v>-94.013942398596555</c:v>
                </c:pt>
                <c:pt idx="2">
                  <c:v>46.287167758215219</c:v>
                </c:pt>
                <c:pt idx="3">
                  <c:v>-410.11462193122134</c:v>
                </c:pt>
                <c:pt idx="4">
                  <c:v>309.71459076041356</c:v>
                </c:pt>
                <c:pt idx="5">
                  <c:v>-249.31121532944962</c:v>
                </c:pt>
                <c:pt idx="6">
                  <c:v>-164.04895639559254</c:v>
                </c:pt>
                <c:pt idx="7">
                  <c:v>-13.180356866214424</c:v>
                </c:pt>
                <c:pt idx="8">
                  <c:v>14.304772599600255</c:v>
                </c:pt>
                <c:pt idx="9">
                  <c:v>455.39409455191344</c:v>
                </c:pt>
                <c:pt idx="10">
                  <c:v>-17.268927114550024</c:v>
                </c:pt>
                <c:pt idx="11">
                  <c:v>-39.055042522959411</c:v>
                </c:pt>
                <c:pt idx="12">
                  <c:v>-155.54997359542176</c:v>
                </c:pt>
                <c:pt idx="13">
                  <c:v>-85.671308041550219</c:v>
                </c:pt>
                <c:pt idx="14">
                  <c:v>341.93151396140456</c:v>
                </c:pt>
                <c:pt idx="15">
                  <c:v>-206.75782519346103</c:v>
                </c:pt>
              </c:numCache>
            </c:numRef>
          </c:yVal>
        </c:ser>
        <c:axId val="164863360"/>
        <c:axId val="164878208"/>
      </c:scatterChart>
      <c:valAx>
        <c:axId val="164863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Unemployment</a:t>
                </a:r>
              </a:p>
            </c:rich>
          </c:tx>
          <c:layout>
            <c:manualLayout>
              <c:xMode val="edge"/>
              <c:yMode val="edge"/>
              <c:x val="0.44845432980671229"/>
              <c:y val="0.78034682080924855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878208"/>
        <c:crosses val="autoZero"/>
        <c:crossBetween val="midCat"/>
      </c:valAx>
      <c:valAx>
        <c:axId val="1648782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2.7491408934707903E-2"/>
              <c:y val="0.3526011560693641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863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Military Employment  Residual Plot</a:t>
            </a:r>
          </a:p>
        </c:rich>
      </c:tx>
      <c:layout>
        <c:manualLayout>
          <c:xMode val="edge"/>
          <c:yMode val="edge"/>
          <c:x val="0.21166306695464362"/>
          <c:y val="4.597701149425287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414704136052385"/>
          <c:y val="0.35632383892240777"/>
          <c:w val="0.76025998103821568"/>
          <c:h val="0.3620709976147046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Longley!$E$2:$E$17</c:f>
              <c:numCache>
                <c:formatCode>0.0</c:formatCode>
                <c:ptCount val="16"/>
                <c:pt idx="0">
                  <c:v>1590</c:v>
                </c:pt>
                <c:pt idx="1">
                  <c:v>1456</c:v>
                </c:pt>
                <c:pt idx="2">
                  <c:v>1616</c:v>
                </c:pt>
                <c:pt idx="3">
                  <c:v>1650</c:v>
                </c:pt>
                <c:pt idx="4">
                  <c:v>3099</c:v>
                </c:pt>
                <c:pt idx="5">
                  <c:v>3594</c:v>
                </c:pt>
                <c:pt idx="6">
                  <c:v>3547</c:v>
                </c:pt>
                <c:pt idx="7">
                  <c:v>3350</c:v>
                </c:pt>
                <c:pt idx="8">
                  <c:v>3048</c:v>
                </c:pt>
                <c:pt idx="9">
                  <c:v>2857</c:v>
                </c:pt>
                <c:pt idx="10">
                  <c:v>2798</c:v>
                </c:pt>
                <c:pt idx="11">
                  <c:v>2637</c:v>
                </c:pt>
                <c:pt idx="12">
                  <c:v>2552</c:v>
                </c:pt>
                <c:pt idx="13">
                  <c:v>2514</c:v>
                </c:pt>
                <c:pt idx="14">
                  <c:v>2572</c:v>
                </c:pt>
                <c:pt idx="15">
                  <c:v>2827</c:v>
                </c:pt>
              </c:numCache>
            </c:numRef>
          </c:xVal>
          <c:yVal>
            <c:numRef>
              <c:f>Longley!$K$30:$K$45</c:f>
              <c:numCache>
                <c:formatCode>General</c:formatCode>
                <c:ptCount val="16"/>
                <c:pt idx="0">
                  <c:v>267.34002976026386</c:v>
                </c:pt>
                <c:pt idx="1">
                  <c:v>-94.013942398596555</c:v>
                </c:pt>
                <c:pt idx="2">
                  <c:v>46.287167758215219</c:v>
                </c:pt>
                <c:pt idx="3">
                  <c:v>-410.11462193122134</c:v>
                </c:pt>
                <c:pt idx="4">
                  <c:v>309.71459076041356</c:v>
                </c:pt>
                <c:pt idx="5">
                  <c:v>-249.31121532944962</c:v>
                </c:pt>
                <c:pt idx="6">
                  <c:v>-164.04895639559254</c:v>
                </c:pt>
                <c:pt idx="7">
                  <c:v>-13.180356866214424</c:v>
                </c:pt>
                <c:pt idx="8">
                  <c:v>14.304772599600255</c:v>
                </c:pt>
                <c:pt idx="9">
                  <c:v>455.39409455191344</c:v>
                </c:pt>
                <c:pt idx="10">
                  <c:v>-17.268927114550024</c:v>
                </c:pt>
                <c:pt idx="11">
                  <c:v>-39.055042522959411</c:v>
                </c:pt>
                <c:pt idx="12">
                  <c:v>-155.54997359542176</c:v>
                </c:pt>
                <c:pt idx="13">
                  <c:v>-85.671308041550219</c:v>
                </c:pt>
                <c:pt idx="14">
                  <c:v>341.93151396140456</c:v>
                </c:pt>
                <c:pt idx="15">
                  <c:v>-206.75782519346103</c:v>
                </c:pt>
              </c:numCache>
            </c:numRef>
          </c:yVal>
        </c:ser>
        <c:axId val="164902016"/>
        <c:axId val="164904320"/>
      </c:scatterChart>
      <c:valAx>
        <c:axId val="164902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Military Employment</a:t>
                </a:r>
              </a:p>
            </c:rich>
          </c:tx>
          <c:layout>
            <c:manualLayout>
              <c:xMode val="edge"/>
              <c:yMode val="edge"/>
              <c:x val="0.39956848806426193"/>
              <c:y val="0.78161341901227865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904320"/>
        <c:crosses val="autoZero"/>
        <c:crossBetween val="midCat"/>
      </c:valAx>
      <c:valAx>
        <c:axId val="1649043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3.4557235421166309E-2"/>
              <c:y val="0.3505765227622408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9020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Population  Residual Plot</a:t>
            </a:r>
          </a:p>
        </c:rich>
      </c:tx>
      <c:layout>
        <c:manualLayout>
          <c:xMode val="edge"/>
          <c:yMode val="edge"/>
          <c:x val="0.28725701943844495"/>
          <c:y val="4.624277456647398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414704136052385"/>
          <c:y val="0.3583815028901734"/>
          <c:w val="0.74514117459711482"/>
          <c:h val="0.3583815028901734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Longley!$F$2:$F$17</c:f>
              <c:numCache>
                <c:formatCode>0.0</c:formatCode>
                <c:ptCount val="16"/>
                <c:pt idx="0">
                  <c:v>107608</c:v>
                </c:pt>
                <c:pt idx="1">
                  <c:v>108632</c:v>
                </c:pt>
                <c:pt idx="2">
                  <c:v>109773</c:v>
                </c:pt>
                <c:pt idx="3">
                  <c:v>110929</c:v>
                </c:pt>
                <c:pt idx="4">
                  <c:v>112075</c:v>
                </c:pt>
                <c:pt idx="5">
                  <c:v>113270</c:v>
                </c:pt>
                <c:pt idx="6">
                  <c:v>115094</c:v>
                </c:pt>
                <c:pt idx="7">
                  <c:v>116219</c:v>
                </c:pt>
                <c:pt idx="8">
                  <c:v>117388</c:v>
                </c:pt>
                <c:pt idx="9">
                  <c:v>118734</c:v>
                </c:pt>
                <c:pt idx="10">
                  <c:v>120445</c:v>
                </c:pt>
                <c:pt idx="11">
                  <c:v>121950</c:v>
                </c:pt>
                <c:pt idx="12">
                  <c:v>123366</c:v>
                </c:pt>
                <c:pt idx="13">
                  <c:v>125368</c:v>
                </c:pt>
                <c:pt idx="14">
                  <c:v>127852</c:v>
                </c:pt>
                <c:pt idx="15">
                  <c:v>130081</c:v>
                </c:pt>
              </c:numCache>
            </c:numRef>
          </c:xVal>
          <c:yVal>
            <c:numRef>
              <c:f>Longley!$K$30:$K$45</c:f>
              <c:numCache>
                <c:formatCode>General</c:formatCode>
                <c:ptCount val="16"/>
                <c:pt idx="0">
                  <c:v>267.34002976026386</c:v>
                </c:pt>
                <c:pt idx="1">
                  <c:v>-94.013942398596555</c:v>
                </c:pt>
                <c:pt idx="2">
                  <c:v>46.287167758215219</c:v>
                </c:pt>
                <c:pt idx="3">
                  <c:v>-410.11462193122134</c:v>
                </c:pt>
                <c:pt idx="4">
                  <c:v>309.71459076041356</c:v>
                </c:pt>
                <c:pt idx="5">
                  <c:v>-249.31121532944962</c:v>
                </c:pt>
                <c:pt idx="6">
                  <c:v>-164.04895639559254</c:v>
                </c:pt>
                <c:pt idx="7">
                  <c:v>-13.180356866214424</c:v>
                </c:pt>
                <c:pt idx="8">
                  <c:v>14.304772599600255</c:v>
                </c:pt>
                <c:pt idx="9">
                  <c:v>455.39409455191344</c:v>
                </c:pt>
                <c:pt idx="10">
                  <c:v>-17.268927114550024</c:v>
                </c:pt>
                <c:pt idx="11">
                  <c:v>-39.055042522959411</c:v>
                </c:pt>
                <c:pt idx="12">
                  <c:v>-155.54997359542176</c:v>
                </c:pt>
                <c:pt idx="13">
                  <c:v>-85.671308041550219</c:v>
                </c:pt>
                <c:pt idx="14">
                  <c:v>341.93151396140456</c:v>
                </c:pt>
                <c:pt idx="15">
                  <c:v>-206.75782519346103</c:v>
                </c:pt>
              </c:numCache>
            </c:numRef>
          </c:yVal>
        </c:ser>
        <c:axId val="164952704"/>
        <c:axId val="164963456"/>
      </c:scatterChart>
      <c:valAx>
        <c:axId val="1649527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Population</a:t>
                </a:r>
              </a:p>
            </c:rich>
          </c:tx>
          <c:layout>
            <c:manualLayout>
              <c:xMode val="edge"/>
              <c:yMode val="edge"/>
              <c:x val="0.45788382283748008"/>
              <c:y val="0.78034682080924855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963456"/>
        <c:crosses val="autoZero"/>
        <c:crossBetween val="midCat"/>
      </c:valAx>
      <c:valAx>
        <c:axId val="1649634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3.4557235421166309E-2"/>
              <c:y val="0.3526011560693641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952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Year-Time  Residual Plot</a:t>
            </a:r>
          </a:p>
        </c:rich>
      </c:tx>
      <c:layout>
        <c:manualLayout>
          <c:xMode val="edge"/>
          <c:yMode val="edge"/>
          <c:x val="0.25260416666666669"/>
          <c:y val="4.651162790697674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9791716999605813"/>
          <c:y val="0.36046613958637919"/>
          <c:w val="0.71093930801215621"/>
          <c:h val="0.3546521695930505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Longley!$G$2:$G$17</c:f>
              <c:numCache>
                <c:formatCode>0.0</c:formatCode>
                <c:ptCount val="16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</c:numCache>
            </c:numRef>
          </c:xVal>
          <c:yVal>
            <c:numRef>
              <c:f>Longley!$K$30:$K$45</c:f>
              <c:numCache>
                <c:formatCode>General</c:formatCode>
                <c:ptCount val="16"/>
                <c:pt idx="0">
                  <c:v>267.34002976026386</c:v>
                </c:pt>
                <c:pt idx="1">
                  <c:v>-94.013942398596555</c:v>
                </c:pt>
                <c:pt idx="2">
                  <c:v>46.287167758215219</c:v>
                </c:pt>
                <c:pt idx="3">
                  <c:v>-410.11462193122134</c:v>
                </c:pt>
                <c:pt idx="4">
                  <c:v>309.71459076041356</c:v>
                </c:pt>
                <c:pt idx="5">
                  <c:v>-249.31121532944962</c:v>
                </c:pt>
                <c:pt idx="6">
                  <c:v>-164.04895639559254</c:v>
                </c:pt>
                <c:pt idx="7">
                  <c:v>-13.180356866214424</c:v>
                </c:pt>
                <c:pt idx="8">
                  <c:v>14.304772599600255</c:v>
                </c:pt>
                <c:pt idx="9">
                  <c:v>455.39409455191344</c:v>
                </c:pt>
                <c:pt idx="10">
                  <c:v>-17.268927114550024</c:v>
                </c:pt>
                <c:pt idx="11">
                  <c:v>-39.055042522959411</c:v>
                </c:pt>
                <c:pt idx="12">
                  <c:v>-155.54997359542176</c:v>
                </c:pt>
                <c:pt idx="13">
                  <c:v>-85.671308041550219</c:v>
                </c:pt>
                <c:pt idx="14">
                  <c:v>341.93151396140456</c:v>
                </c:pt>
                <c:pt idx="15">
                  <c:v>-206.75782519346103</c:v>
                </c:pt>
              </c:numCache>
            </c:numRef>
          </c:yVal>
        </c:ser>
        <c:axId val="165004032"/>
        <c:axId val="165006336"/>
      </c:scatterChart>
      <c:valAx>
        <c:axId val="1650040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Year-Time</a:t>
                </a:r>
              </a:p>
            </c:rich>
          </c:tx>
          <c:layout>
            <c:manualLayout>
              <c:xMode val="edge"/>
              <c:yMode val="edge"/>
              <c:x val="0.46354276027996494"/>
              <c:y val="0.77907220899713114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006336"/>
        <c:crosses val="autoZero"/>
        <c:crossBetween val="midCat"/>
      </c:valAx>
      <c:valAx>
        <c:axId val="1650063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3488384300799609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004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GNP Deflator Line Fit  Plot</a:t>
            </a:r>
          </a:p>
        </c:rich>
      </c:tx>
      <c:layout>
        <c:manualLayout>
          <c:xMode val="edge"/>
          <c:yMode val="edge"/>
          <c:x val="0.23697916666666666"/>
          <c:y val="4.651162790697674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7083402209986901"/>
          <c:y val="0.36046613958637919"/>
          <c:w val="0.42187607288633444"/>
          <c:h val="0.23837276972647656"/>
        </c:manualLayout>
      </c:layout>
      <c:scatterChart>
        <c:scatterStyle val="lineMarker"/>
        <c:ser>
          <c:idx val="0"/>
          <c:order val="0"/>
          <c:tx>
            <c:v>Response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xVal>
          <c:yVal>
            <c:numRef>
              <c:f>Longley!$A$2:$A$17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yVal>
        </c:ser>
        <c:ser>
          <c:idx val="1"/>
          <c:order val="1"/>
          <c:tx>
            <c:v>Predicted Response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xVal>
          <c:yVal>
            <c:numRef>
              <c:f>Longley!$J$30:$J$45</c:f>
              <c:numCache>
                <c:formatCode>General</c:formatCode>
                <c:ptCount val="16"/>
                <c:pt idx="0">
                  <c:v>60055.659970239736</c:v>
                </c:pt>
                <c:pt idx="1">
                  <c:v>61216.013942398597</c:v>
                </c:pt>
                <c:pt idx="2">
                  <c:v>60124.712832241785</c:v>
                </c:pt>
                <c:pt idx="3">
                  <c:v>61597.114621931221</c:v>
                </c:pt>
                <c:pt idx="4">
                  <c:v>62911.285409239586</c:v>
                </c:pt>
                <c:pt idx="5">
                  <c:v>63888.31121532945</c:v>
                </c:pt>
                <c:pt idx="6">
                  <c:v>65153.048956395593</c:v>
                </c:pt>
                <c:pt idx="7">
                  <c:v>63774.180356866214</c:v>
                </c:pt>
                <c:pt idx="8">
                  <c:v>66004.6952274004</c:v>
                </c:pt>
                <c:pt idx="9">
                  <c:v>67401.605905448087</c:v>
                </c:pt>
                <c:pt idx="10">
                  <c:v>68186.26892711455</c:v>
                </c:pt>
                <c:pt idx="11">
                  <c:v>66552.055042522959</c:v>
                </c:pt>
                <c:pt idx="12">
                  <c:v>68810.549973595422</c:v>
                </c:pt>
                <c:pt idx="13">
                  <c:v>69649.67130804155</c:v>
                </c:pt>
                <c:pt idx="14">
                  <c:v>68989.068486038595</c:v>
                </c:pt>
                <c:pt idx="15">
                  <c:v>70757.757825193461</c:v>
                </c:pt>
              </c:numCache>
            </c:numRef>
          </c:yVal>
        </c:ser>
        <c:axId val="165065088"/>
        <c:axId val="165067392"/>
      </c:scatterChart>
      <c:valAx>
        <c:axId val="165065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GNP Deflator</a:t>
                </a:r>
              </a:p>
            </c:rich>
          </c:tx>
          <c:layout>
            <c:manualLayout>
              <c:xMode val="edge"/>
              <c:yMode val="edge"/>
              <c:x val="0.36979248687664046"/>
              <c:y val="0.77907220899713114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067392"/>
        <c:crosses val="autoZero"/>
        <c:crossBetween val="midCat"/>
      </c:valAx>
      <c:valAx>
        <c:axId val="1650673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29069828480742232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065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7604358048993882"/>
          <c:y val="0.38953610449856557"/>
          <c:w val="0.979169127296588"/>
          <c:h val="0.8255838369041078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Gross National Product Line Fit  Plot</a:t>
            </a:r>
          </a:p>
        </c:rich>
      </c:tx>
      <c:layout>
        <c:manualLayout>
          <c:xMode val="edge"/>
          <c:yMode val="edge"/>
          <c:x val="0.1328125"/>
          <c:y val="4.651162790697674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7083402209986901"/>
          <c:y val="0.36046613958637919"/>
          <c:w val="0.40364685986038173"/>
          <c:h val="0.13953527983988873"/>
        </c:manualLayout>
      </c:layout>
      <c:scatterChart>
        <c:scatterStyle val="lineMarker"/>
        <c:ser>
          <c:idx val="0"/>
          <c:order val="0"/>
          <c:tx>
            <c:v>Response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Longley!$C$2:$C$17</c:f>
              <c:numCache>
                <c:formatCode>0.0</c:formatCode>
                <c:ptCount val="16"/>
                <c:pt idx="0">
                  <c:v>234289</c:v>
                </c:pt>
                <c:pt idx="1">
                  <c:v>259426</c:v>
                </c:pt>
                <c:pt idx="2">
                  <c:v>258054</c:v>
                </c:pt>
                <c:pt idx="3">
                  <c:v>284599</c:v>
                </c:pt>
                <c:pt idx="4">
                  <c:v>328975</c:v>
                </c:pt>
                <c:pt idx="5">
                  <c:v>346999</c:v>
                </c:pt>
                <c:pt idx="6">
                  <c:v>365385</c:v>
                </c:pt>
                <c:pt idx="7">
                  <c:v>363112</c:v>
                </c:pt>
                <c:pt idx="8">
                  <c:v>397469</c:v>
                </c:pt>
                <c:pt idx="9">
                  <c:v>419180</c:v>
                </c:pt>
                <c:pt idx="10">
                  <c:v>442769</c:v>
                </c:pt>
                <c:pt idx="11">
                  <c:v>444546</c:v>
                </c:pt>
                <c:pt idx="12">
                  <c:v>482704</c:v>
                </c:pt>
                <c:pt idx="13">
                  <c:v>502601</c:v>
                </c:pt>
                <c:pt idx="14">
                  <c:v>518173</c:v>
                </c:pt>
                <c:pt idx="15">
                  <c:v>554894</c:v>
                </c:pt>
              </c:numCache>
            </c:numRef>
          </c:xVal>
          <c:yVal>
            <c:numRef>
              <c:f>Longley!$A$2:$A$17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yVal>
        </c:ser>
        <c:ser>
          <c:idx val="1"/>
          <c:order val="1"/>
          <c:tx>
            <c:v>Predicted Response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Longley!$C$2:$C$17</c:f>
              <c:numCache>
                <c:formatCode>0.0</c:formatCode>
                <c:ptCount val="16"/>
                <c:pt idx="0">
                  <c:v>234289</c:v>
                </c:pt>
                <c:pt idx="1">
                  <c:v>259426</c:v>
                </c:pt>
                <c:pt idx="2">
                  <c:v>258054</c:v>
                </c:pt>
                <c:pt idx="3">
                  <c:v>284599</c:v>
                </c:pt>
                <c:pt idx="4">
                  <c:v>328975</c:v>
                </c:pt>
                <c:pt idx="5">
                  <c:v>346999</c:v>
                </c:pt>
                <c:pt idx="6">
                  <c:v>365385</c:v>
                </c:pt>
                <c:pt idx="7">
                  <c:v>363112</c:v>
                </c:pt>
                <c:pt idx="8">
                  <c:v>397469</c:v>
                </c:pt>
                <c:pt idx="9">
                  <c:v>419180</c:v>
                </c:pt>
                <c:pt idx="10">
                  <c:v>442769</c:v>
                </c:pt>
                <c:pt idx="11">
                  <c:v>444546</c:v>
                </c:pt>
                <c:pt idx="12">
                  <c:v>482704</c:v>
                </c:pt>
                <c:pt idx="13">
                  <c:v>502601</c:v>
                </c:pt>
                <c:pt idx="14">
                  <c:v>518173</c:v>
                </c:pt>
                <c:pt idx="15">
                  <c:v>554894</c:v>
                </c:pt>
              </c:numCache>
            </c:numRef>
          </c:xVal>
          <c:yVal>
            <c:numRef>
              <c:f>Longley!$J$30:$J$45</c:f>
              <c:numCache>
                <c:formatCode>General</c:formatCode>
                <c:ptCount val="16"/>
                <c:pt idx="0">
                  <c:v>60055.659970239736</c:v>
                </c:pt>
                <c:pt idx="1">
                  <c:v>61216.013942398597</c:v>
                </c:pt>
                <c:pt idx="2">
                  <c:v>60124.712832241785</c:v>
                </c:pt>
                <c:pt idx="3">
                  <c:v>61597.114621931221</c:v>
                </c:pt>
                <c:pt idx="4">
                  <c:v>62911.285409239586</c:v>
                </c:pt>
                <c:pt idx="5">
                  <c:v>63888.31121532945</c:v>
                </c:pt>
                <c:pt idx="6">
                  <c:v>65153.048956395593</c:v>
                </c:pt>
                <c:pt idx="7">
                  <c:v>63774.180356866214</c:v>
                </c:pt>
                <c:pt idx="8">
                  <c:v>66004.6952274004</c:v>
                </c:pt>
                <c:pt idx="9">
                  <c:v>67401.605905448087</c:v>
                </c:pt>
                <c:pt idx="10">
                  <c:v>68186.26892711455</c:v>
                </c:pt>
                <c:pt idx="11">
                  <c:v>66552.055042522959</c:v>
                </c:pt>
                <c:pt idx="12">
                  <c:v>68810.549973595422</c:v>
                </c:pt>
                <c:pt idx="13">
                  <c:v>69649.67130804155</c:v>
                </c:pt>
                <c:pt idx="14">
                  <c:v>68989.068486038595</c:v>
                </c:pt>
                <c:pt idx="15">
                  <c:v>70757.757825193461</c:v>
                </c:pt>
              </c:numCache>
            </c:numRef>
          </c:yVal>
        </c:ser>
        <c:axId val="165116928"/>
        <c:axId val="165127680"/>
      </c:scatterChart>
      <c:valAx>
        <c:axId val="1651169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Gross National Product</a:t>
                </a:r>
              </a:p>
            </c:rich>
          </c:tx>
          <c:layout>
            <c:manualLayout>
              <c:xMode val="edge"/>
              <c:yMode val="edge"/>
              <c:x val="0.27864665354330709"/>
              <c:y val="0.77907220899713114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127680"/>
        <c:crosses val="autoZero"/>
        <c:crossBetween val="midCat"/>
      </c:valAx>
      <c:valAx>
        <c:axId val="1651276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2441866569004455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1169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7604358048993882"/>
          <c:y val="0.38953610449856557"/>
          <c:w val="0.979169127296588"/>
          <c:h val="0.8255838369041078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Unemployment Line Fit  Plot</a:t>
            </a:r>
          </a:p>
        </c:rich>
      </c:tx>
      <c:layout>
        <c:manualLayout>
          <c:xMode val="edge"/>
          <c:yMode val="edge"/>
          <c:x val="0.21354166666666666"/>
          <c:y val="4.678362573099414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7083402209986901"/>
          <c:y val="0.35672718342918169"/>
          <c:w val="0.42187607288633444"/>
          <c:h val="0.23976745115731884"/>
        </c:manualLayout>
      </c:layout>
      <c:scatterChart>
        <c:scatterStyle val="lineMarker"/>
        <c:ser>
          <c:idx val="0"/>
          <c:order val="0"/>
          <c:tx>
            <c:v>Response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Longley!$D$2:$D$17</c:f>
              <c:numCache>
                <c:formatCode>0.0</c:formatCode>
                <c:ptCount val="16"/>
                <c:pt idx="0">
                  <c:v>2356</c:v>
                </c:pt>
                <c:pt idx="1">
                  <c:v>2325</c:v>
                </c:pt>
                <c:pt idx="2">
                  <c:v>3682</c:v>
                </c:pt>
                <c:pt idx="3">
                  <c:v>3351</c:v>
                </c:pt>
                <c:pt idx="4">
                  <c:v>2099</c:v>
                </c:pt>
                <c:pt idx="5">
                  <c:v>1932</c:v>
                </c:pt>
                <c:pt idx="6">
                  <c:v>1870</c:v>
                </c:pt>
                <c:pt idx="7">
                  <c:v>3578</c:v>
                </c:pt>
                <c:pt idx="8">
                  <c:v>2904</c:v>
                </c:pt>
                <c:pt idx="9">
                  <c:v>2822</c:v>
                </c:pt>
                <c:pt idx="10">
                  <c:v>2936</c:v>
                </c:pt>
                <c:pt idx="11">
                  <c:v>4681</c:v>
                </c:pt>
                <c:pt idx="12">
                  <c:v>3813</c:v>
                </c:pt>
                <c:pt idx="13">
                  <c:v>3931</c:v>
                </c:pt>
                <c:pt idx="14">
                  <c:v>4806</c:v>
                </c:pt>
                <c:pt idx="15">
                  <c:v>4007</c:v>
                </c:pt>
              </c:numCache>
            </c:numRef>
          </c:xVal>
          <c:yVal>
            <c:numRef>
              <c:f>Longley!$A$2:$A$17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yVal>
        </c:ser>
        <c:ser>
          <c:idx val="1"/>
          <c:order val="1"/>
          <c:tx>
            <c:v>Predicted Response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Longley!$D$2:$D$17</c:f>
              <c:numCache>
                <c:formatCode>0.0</c:formatCode>
                <c:ptCount val="16"/>
                <c:pt idx="0">
                  <c:v>2356</c:v>
                </c:pt>
                <c:pt idx="1">
                  <c:v>2325</c:v>
                </c:pt>
                <c:pt idx="2">
                  <c:v>3682</c:v>
                </c:pt>
                <c:pt idx="3">
                  <c:v>3351</c:v>
                </c:pt>
                <c:pt idx="4">
                  <c:v>2099</c:v>
                </c:pt>
                <c:pt idx="5">
                  <c:v>1932</c:v>
                </c:pt>
                <c:pt idx="6">
                  <c:v>1870</c:v>
                </c:pt>
                <c:pt idx="7">
                  <c:v>3578</c:v>
                </c:pt>
                <c:pt idx="8">
                  <c:v>2904</c:v>
                </c:pt>
                <c:pt idx="9">
                  <c:v>2822</c:v>
                </c:pt>
                <c:pt idx="10">
                  <c:v>2936</c:v>
                </c:pt>
                <c:pt idx="11">
                  <c:v>4681</c:v>
                </c:pt>
                <c:pt idx="12">
                  <c:v>3813</c:v>
                </c:pt>
                <c:pt idx="13">
                  <c:v>3931</c:v>
                </c:pt>
                <c:pt idx="14">
                  <c:v>4806</c:v>
                </c:pt>
                <c:pt idx="15">
                  <c:v>4007</c:v>
                </c:pt>
              </c:numCache>
            </c:numRef>
          </c:xVal>
          <c:yVal>
            <c:numRef>
              <c:f>Longley!$J$30:$J$45</c:f>
              <c:numCache>
                <c:formatCode>General</c:formatCode>
                <c:ptCount val="16"/>
                <c:pt idx="0">
                  <c:v>60055.659970239736</c:v>
                </c:pt>
                <c:pt idx="1">
                  <c:v>61216.013942398597</c:v>
                </c:pt>
                <c:pt idx="2">
                  <c:v>60124.712832241785</c:v>
                </c:pt>
                <c:pt idx="3">
                  <c:v>61597.114621931221</c:v>
                </c:pt>
                <c:pt idx="4">
                  <c:v>62911.285409239586</c:v>
                </c:pt>
                <c:pt idx="5">
                  <c:v>63888.31121532945</c:v>
                </c:pt>
                <c:pt idx="6">
                  <c:v>65153.048956395593</c:v>
                </c:pt>
                <c:pt idx="7">
                  <c:v>63774.180356866214</c:v>
                </c:pt>
                <c:pt idx="8">
                  <c:v>66004.6952274004</c:v>
                </c:pt>
                <c:pt idx="9">
                  <c:v>67401.605905448087</c:v>
                </c:pt>
                <c:pt idx="10">
                  <c:v>68186.26892711455</c:v>
                </c:pt>
                <c:pt idx="11">
                  <c:v>66552.055042522959</c:v>
                </c:pt>
                <c:pt idx="12">
                  <c:v>68810.549973595422</c:v>
                </c:pt>
                <c:pt idx="13">
                  <c:v>69649.67130804155</c:v>
                </c:pt>
                <c:pt idx="14">
                  <c:v>68989.068486038595</c:v>
                </c:pt>
                <c:pt idx="15">
                  <c:v>70757.757825193461</c:v>
                </c:pt>
              </c:numCache>
            </c:numRef>
          </c:yVal>
        </c:ser>
        <c:axId val="165148544"/>
        <c:axId val="165163392"/>
      </c:scatterChart>
      <c:valAx>
        <c:axId val="1651485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Unemployment</a:t>
                </a:r>
              </a:p>
            </c:rich>
          </c:tx>
          <c:layout>
            <c:manualLayout>
              <c:xMode val="edge"/>
              <c:yMode val="edge"/>
              <c:x val="0.35156332020997377"/>
              <c:y val="0.77778207548617828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163392"/>
        <c:crosses val="autoZero"/>
        <c:crossBetween val="midCat"/>
      </c:valAx>
      <c:valAx>
        <c:axId val="1651633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28655154947736794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1485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7604358048993882"/>
          <c:y val="0.38596736811407345"/>
          <c:w val="0.979169127296588"/>
          <c:h val="0.82456631517551537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Military Employment Line Fit  Plot</a:t>
            </a:r>
          </a:p>
        </c:rich>
      </c:tx>
      <c:layout>
        <c:manualLayout>
          <c:xMode val="edge"/>
          <c:yMode val="edge"/>
          <c:x val="0.1640625"/>
          <c:y val="4.651162790697674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7083402209986901"/>
          <c:y val="0.36046613958637919"/>
          <c:w val="0.42187607288633444"/>
          <c:h val="0.13953527983988873"/>
        </c:manualLayout>
      </c:layout>
      <c:scatterChart>
        <c:scatterStyle val="lineMarker"/>
        <c:ser>
          <c:idx val="0"/>
          <c:order val="0"/>
          <c:tx>
            <c:v>Response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Longley!$E$2:$E$17</c:f>
              <c:numCache>
                <c:formatCode>0.0</c:formatCode>
                <c:ptCount val="16"/>
                <c:pt idx="0">
                  <c:v>1590</c:v>
                </c:pt>
                <c:pt idx="1">
                  <c:v>1456</c:v>
                </c:pt>
                <c:pt idx="2">
                  <c:v>1616</c:v>
                </c:pt>
                <c:pt idx="3">
                  <c:v>1650</c:v>
                </c:pt>
                <c:pt idx="4">
                  <c:v>3099</c:v>
                </c:pt>
                <c:pt idx="5">
                  <c:v>3594</c:v>
                </c:pt>
                <c:pt idx="6">
                  <c:v>3547</c:v>
                </c:pt>
                <c:pt idx="7">
                  <c:v>3350</c:v>
                </c:pt>
                <c:pt idx="8">
                  <c:v>3048</c:v>
                </c:pt>
                <c:pt idx="9">
                  <c:v>2857</c:v>
                </c:pt>
                <c:pt idx="10">
                  <c:v>2798</c:v>
                </c:pt>
                <c:pt idx="11">
                  <c:v>2637</c:v>
                </c:pt>
                <c:pt idx="12">
                  <c:v>2552</c:v>
                </c:pt>
                <c:pt idx="13">
                  <c:v>2514</c:v>
                </c:pt>
                <c:pt idx="14">
                  <c:v>2572</c:v>
                </c:pt>
                <c:pt idx="15">
                  <c:v>2827</c:v>
                </c:pt>
              </c:numCache>
            </c:numRef>
          </c:xVal>
          <c:yVal>
            <c:numRef>
              <c:f>Longley!$A$2:$A$17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yVal>
        </c:ser>
        <c:ser>
          <c:idx val="1"/>
          <c:order val="1"/>
          <c:tx>
            <c:v>Predicted Response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Longley!$E$2:$E$17</c:f>
              <c:numCache>
                <c:formatCode>0.0</c:formatCode>
                <c:ptCount val="16"/>
                <c:pt idx="0">
                  <c:v>1590</c:v>
                </c:pt>
                <c:pt idx="1">
                  <c:v>1456</c:v>
                </c:pt>
                <c:pt idx="2">
                  <c:v>1616</c:v>
                </c:pt>
                <c:pt idx="3">
                  <c:v>1650</c:v>
                </c:pt>
                <c:pt idx="4">
                  <c:v>3099</c:v>
                </c:pt>
                <c:pt idx="5">
                  <c:v>3594</c:v>
                </c:pt>
                <c:pt idx="6">
                  <c:v>3547</c:v>
                </c:pt>
                <c:pt idx="7">
                  <c:v>3350</c:v>
                </c:pt>
                <c:pt idx="8">
                  <c:v>3048</c:v>
                </c:pt>
                <c:pt idx="9">
                  <c:v>2857</c:v>
                </c:pt>
                <c:pt idx="10">
                  <c:v>2798</c:v>
                </c:pt>
                <c:pt idx="11">
                  <c:v>2637</c:v>
                </c:pt>
                <c:pt idx="12">
                  <c:v>2552</c:v>
                </c:pt>
                <c:pt idx="13">
                  <c:v>2514</c:v>
                </c:pt>
                <c:pt idx="14">
                  <c:v>2572</c:v>
                </c:pt>
                <c:pt idx="15">
                  <c:v>2827</c:v>
                </c:pt>
              </c:numCache>
            </c:numRef>
          </c:xVal>
          <c:yVal>
            <c:numRef>
              <c:f>Longley!$J$30:$J$45</c:f>
              <c:numCache>
                <c:formatCode>General</c:formatCode>
                <c:ptCount val="16"/>
                <c:pt idx="0">
                  <c:v>60055.659970239736</c:v>
                </c:pt>
                <c:pt idx="1">
                  <c:v>61216.013942398597</c:v>
                </c:pt>
                <c:pt idx="2">
                  <c:v>60124.712832241785</c:v>
                </c:pt>
                <c:pt idx="3">
                  <c:v>61597.114621931221</c:v>
                </c:pt>
                <c:pt idx="4">
                  <c:v>62911.285409239586</c:v>
                </c:pt>
                <c:pt idx="5">
                  <c:v>63888.31121532945</c:v>
                </c:pt>
                <c:pt idx="6">
                  <c:v>65153.048956395593</c:v>
                </c:pt>
                <c:pt idx="7">
                  <c:v>63774.180356866214</c:v>
                </c:pt>
                <c:pt idx="8">
                  <c:v>66004.6952274004</c:v>
                </c:pt>
                <c:pt idx="9">
                  <c:v>67401.605905448087</c:v>
                </c:pt>
                <c:pt idx="10">
                  <c:v>68186.26892711455</c:v>
                </c:pt>
                <c:pt idx="11">
                  <c:v>66552.055042522959</c:v>
                </c:pt>
                <c:pt idx="12">
                  <c:v>68810.549973595422</c:v>
                </c:pt>
                <c:pt idx="13">
                  <c:v>69649.67130804155</c:v>
                </c:pt>
                <c:pt idx="14">
                  <c:v>68989.068486038595</c:v>
                </c:pt>
                <c:pt idx="15">
                  <c:v>70757.757825193461</c:v>
                </c:pt>
              </c:numCache>
            </c:numRef>
          </c:yVal>
        </c:ser>
        <c:axId val="165204736"/>
        <c:axId val="165207040"/>
      </c:scatterChart>
      <c:valAx>
        <c:axId val="1652047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Military Employment</a:t>
                </a:r>
              </a:p>
            </c:rich>
          </c:tx>
          <c:layout>
            <c:manualLayout>
              <c:xMode val="edge"/>
              <c:yMode val="edge"/>
              <c:x val="0.30729248687664046"/>
              <c:y val="0.77907220899713114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207040"/>
        <c:crosses val="autoZero"/>
        <c:crossBetween val="midCat"/>
      </c:valAx>
      <c:valAx>
        <c:axId val="16520704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2441866569004455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2047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7604358048993882"/>
          <c:y val="0.38953610449856557"/>
          <c:w val="0.979169127296588"/>
          <c:h val="0.8255838369041078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Population Line Fit  Plot</a:t>
            </a:r>
          </a:p>
        </c:rich>
      </c:tx>
      <c:layout>
        <c:manualLayout>
          <c:xMode val="edge"/>
          <c:yMode val="edge"/>
          <c:x val="0.2578125"/>
          <c:y val="4.651162790697674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7083402209986901"/>
          <c:y val="0.36046613958637919"/>
          <c:w val="0.40364685986038173"/>
          <c:h val="0.13953527983988873"/>
        </c:manualLayout>
      </c:layout>
      <c:scatterChart>
        <c:scatterStyle val="lineMarker"/>
        <c:ser>
          <c:idx val="0"/>
          <c:order val="0"/>
          <c:tx>
            <c:v>Response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Longley!$F$2:$F$17</c:f>
              <c:numCache>
                <c:formatCode>0.0</c:formatCode>
                <c:ptCount val="16"/>
                <c:pt idx="0">
                  <c:v>107608</c:v>
                </c:pt>
                <c:pt idx="1">
                  <c:v>108632</c:v>
                </c:pt>
                <c:pt idx="2">
                  <c:v>109773</c:v>
                </c:pt>
                <c:pt idx="3">
                  <c:v>110929</c:v>
                </c:pt>
                <c:pt idx="4">
                  <c:v>112075</c:v>
                </c:pt>
                <c:pt idx="5">
                  <c:v>113270</c:v>
                </c:pt>
                <c:pt idx="6">
                  <c:v>115094</c:v>
                </c:pt>
                <c:pt idx="7">
                  <c:v>116219</c:v>
                </c:pt>
                <c:pt idx="8">
                  <c:v>117388</c:v>
                </c:pt>
                <c:pt idx="9">
                  <c:v>118734</c:v>
                </c:pt>
                <c:pt idx="10">
                  <c:v>120445</c:v>
                </c:pt>
                <c:pt idx="11">
                  <c:v>121950</c:v>
                </c:pt>
                <c:pt idx="12">
                  <c:v>123366</c:v>
                </c:pt>
                <c:pt idx="13">
                  <c:v>125368</c:v>
                </c:pt>
                <c:pt idx="14">
                  <c:v>127852</c:v>
                </c:pt>
                <c:pt idx="15">
                  <c:v>130081</c:v>
                </c:pt>
              </c:numCache>
            </c:numRef>
          </c:xVal>
          <c:yVal>
            <c:numRef>
              <c:f>Longley!$A$2:$A$17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yVal>
        </c:ser>
        <c:ser>
          <c:idx val="1"/>
          <c:order val="1"/>
          <c:tx>
            <c:v>Predicted Response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Longley!$F$2:$F$17</c:f>
              <c:numCache>
                <c:formatCode>0.0</c:formatCode>
                <c:ptCount val="16"/>
                <c:pt idx="0">
                  <c:v>107608</c:v>
                </c:pt>
                <c:pt idx="1">
                  <c:v>108632</c:v>
                </c:pt>
                <c:pt idx="2">
                  <c:v>109773</c:v>
                </c:pt>
                <c:pt idx="3">
                  <c:v>110929</c:v>
                </c:pt>
                <c:pt idx="4">
                  <c:v>112075</c:v>
                </c:pt>
                <c:pt idx="5">
                  <c:v>113270</c:v>
                </c:pt>
                <c:pt idx="6">
                  <c:v>115094</c:v>
                </c:pt>
                <c:pt idx="7">
                  <c:v>116219</c:v>
                </c:pt>
                <c:pt idx="8">
                  <c:v>117388</c:v>
                </c:pt>
                <c:pt idx="9">
                  <c:v>118734</c:v>
                </c:pt>
                <c:pt idx="10">
                  <c:v>120445</c:v>
                </c:pt>
                <c:pt idx="11">
                  <c:v>121950</c:v>
                </c:pt>
                <c:pt idx="12">
                  <c:v>123366</c:v>
                </c:pt>
                <c:pt idx="13">
                  <c:v>125368</c:v>
                </c:pt>
                <c:pt idx="14">
                  <c:v>127852</c:v>
                </c:pt>
                <c:pt idx="15">
                  <c:v>130081</c:v>
                </c:pt>
              </c:numCache>
            </c:numRef>
          </c:xVal>
          <c:yVal>
            <c:numRef>
              <c:f>Longley!$J$30:$J$45</c:f>
              <c:numCache>
                <c:formatCode>General</c:formatCode>
                <c:ptCount val="16"/>
                <c:pt idx="0">
                  <c:v>60055.659970239736</c:v>
                </c:pt>
                <c:pt idx="1">
                  <c:v>61216.013942398597</c:v>
                </c:pt>
                <c:pt idx="2">
                  <c:v>60124.712832241785</c:v>
                </c:pt>
                <c:pt idx="3">
                  <c:v>61597.114621931221</c:v>
                </c:pt>
                <c:pt idx="4">
                  <c:v>62911.285409239586</c:v>
                </c:pt>
                <c:pt idx="5">
                  <c:v>63888.31121532945</c:v>
                </c:pt>
                <c:pt idx="6">
                  <c:v>65153.048956395593</c:v>
                </c:pt>
                <c:pt idx="7">
                  <c:v>63774.180356866214</c:v>
                </c:pt>
                <c:pt idx="8">
                  <c:v>66004.6952274004</c:v>
                </c:pt>
                <c:pt idx="9">
                  <c:v>67401.605905448087</c:v>
                </c:pt>
                <c:pt idx="10">
                  <c:v>68186.26892711455</c:v>
                </c:pt>
                <c:pt idx="11">
                  <c:v>66552.055042522959</c:v>
                </c:pt>
                <c:pt idx="12">
                  <c:v>68810.549973595422</c:v>
                </c:pt>
                <c:pt idx="13">
                  <c:v>69649.67130804155</c:v>
                </c:pt>
                <c:pt idx="14">
                  <c:v>68989.068486038595</c:v>
                </c:pt>
                <c:pt idx="15">
                  <c:v>70757.757825193461</c:v>
                </c:pt>
              </c:numCache>
            </c:numRef>
          </c:yVal>
        </c:ser>
        <c:axId val="165261312"/>
        <c:axId val="165263616"/>
      </c:scatterChart>
      <c:valAx>
        <c:axId val="1652613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Population</a:t>
                </a:r>
              </a:p>
            </c:rich>
          </c:tx>
          <c:layout>
            <c:manualLayout>
              <c:xMode val="edge"/>
              <c:yMode val="edge"/>
              <c:x val="0.37760526027996499"/>
              <c:y val="0.77907220899713114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263616"/>
        <c:crosses val="autoZero"/>
        <c:crossBetween val="midCat"/>
      </c:valAx>
      <c:valAx>
        <c:axId val="1652636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2441866569004455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261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7604358048993882"/>
          <c:y val="0.38953610449856557"/>
          <c:w val="0.979169127296588"/>
          <c:h val="0.8255838369041078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Year-Time Line Fit  Plot</a:t>
            </a:r>
          </a:p>
        </c:rich>
      </c:tx>
      <c:layout>
        <c:manualLayout>
          <c:xMode val="edge"/>
          <c:yMode val="edge"/>
          <c:x val="0.265625"/>
          <c:y val="4.651162790697674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7083402209986901"/>
          <c:y val="0.36046613958637919"/>
          <c:w val="0.42187607288633444"/>
          <c:h val="0.13953527983988873"/>
        </c:manualLayout>
      </c:layout>
      <c:scatterChart>
        <c:scatterStyle val="lineMarker"/>
        <c:ser>
          <c:idx val="0"/>
          <c:order val="0"/>
          <c:tx>
            <c:v>Response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Longley!$G$2:$G$17</c:f>
              <c:numCache>
                <c:formatCode>0.0</c:formatCode>
                <c:ptCount val="16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</c:numCache>
            </c:numRef>
          </c:xVal>
          <c:yVal>
            <c:numRef>
              <c:f>Longley!$A$2:$A$17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yVal>
        </c:ser>
        <c:ser>
          <c:idx val="1"/>
          <c:order val="1"/>
          <c:tx>
            <c:v>Predicted Response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Longley!$G$2:$G$17</c:f>
              <c:numCache>
                <c:formatCode>0.0</c:formatCode>
                <c:ptCount val="16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</c:numCache>
            </c:numRef>
          </c:xVal>
          <c:yVal>
            <c:numRef>
              <c:f>Longley!$J$30:$J$45</c:f>
              <c:numCache>
                <c:formatCode>General</c:formatCode>
                <c:ptCount val="16"/>
                <c:pt idx="0">
                  <c:v>60055.659970239736</c:v>
                </c:pt>
                <c:pt idx="1">
                  <c:v>61216.013942398597</c:v>
                </c:pt>
                <c:pt idx="2">
                  <c:v>60124.712832241785</c:v>
                </c:pt>
                <c:pt idx="3">
                  <c:v>61597.114621931221</c:v>
                </c:pt>
                <c:pt idx="4">
                  <c:v>62911.285409239586</c:v>
                </c:pt>
                <c:pt idx="5">
                  <c:v>63888.31121532945</c:v>
                </c:pt>
                <c:pt idx="6">
                  <c:v>65153.048956395593</c:v>
                </c:pt>
                <c:pt idx="7">
                  <c:v>63774.180356866214</c:v>
                </c:pt>
                <c:pt idx="8">
                  <c:v>66004.6952274004</c:v>
                </c:pt>
                <c:pt idx="9">
                  <c:v>67401.605905448087</c:v>
                </c:pt>
                <c:pt idx="10">
                  <c:v>68186.26892711455</c:v>
                </c:pt>
                <c:pt idx="11">
                  <c:v>66552.055042522959</c:v>
                </c:pt>
                <c:pt idx="12">
                  <c:v>68810.549973595422</c:v>
                </c:pt>
                <c:pt idx="13">
                  <c:v>69649.67130804155</c:v>
                </c:pt>
                <c:pt idx="14">
                  <c:v>68989.068486038595</c:v>
                </c:pt>
                <c:pt idx="15">
                  <c:v>70757.757825193461</c:v>
                </c:pt>
              </c:numCache>
            </c:numRef>
          </c:yVal>
        </c:ser>
        <c:axId val="165284864"/>
        <c:axId val="165303808"/>
      </c:scatterChart>
      <c:valAx>
        <c:axId val="165284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Year-Time</a:t>
                </a:r>
              </a:p>
            </c:rich>
          </c:tx>
          <c:layout>
            <c:manualLayout>
              <c:xMode val="edge"/>
              <c:yMode val="edge"/>
              <c:x val="0.39323026027996499"/>
              <c:y val="0.77907220899713114"/>
            </c:manualLayout>
          </c:layout>
          <c:spPr>
            <a:noFill/>
            <a:ln w="25400">
              <a:noFill/>
            </a:ln>
          </c:spPr>
        </c:title>
        <c:numFmt formatCode="0.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303808"/>
        <c:crosses val="autoZero"/>
        <c:crossBetween val="midCat"/>
      </c:valAx>
      <c:valAx>
        <c:axId val="1653038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2441866569004455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284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7604358048993882"/>
          <c:y val="0.38953610449856557"/>
          <c:w val="0.979169127296588"/>
          <c:h val="0.8255838369041078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Normal Probability Plot</a:t>
            </a:r>
          </a:p>
        </c:rich>
      </c:tx>
      <c:layout>
        <c:manualLayout>
          <c:xMode val="edge"/>
          <c:yMode val="edge"/>
          <c:x val="0.265625"/>
          <c:y val="4.678362573099414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2395890289027631"/>
          <c:y val="0.35672718342918169"/>
          <c:w val="0.70833513472273435"/>
          <c:h val="0.23976745115731884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Longley!$N$30:$N$45</c:f>
              <c:numCache>
                <c:formatCode>General</c:formatCode>
                <c:ptCount val="16"/>
                <c:pt idx="0">
                  <c:v>3.125</c:v>
                </c:pt>
                <c:pt idx="1">
                  <c:v>9.375</c:v>
                </c:pt>
                <c:pt idx="2">
                  <c:v>15.625</c:v>
                </c:pt>
                <c:pt idx="3">
                  <c:v>21.875</c:v>
                </c:pt>
                <c:pt idx="4">
                  <c:v>28.125</c:v>
                </c:pt>
                <c:pt idx="5">
                  <c:v>34.375</c:v>
                </c:pt>
                <c:pt idx="6">
                  <c:v>40.625</c:v>
                </c:pt>
                <c:pt idx="7">
                  <c:v>46.875</c:v>
                </c:pt>
                <c:pt idx="8">
                  <c:v>53.125</c:v>
                </c:pt>
                <c:pt idx="9">
                  <c:v>59.375</c:v>
                </c:pt>
                <c:pt idx="10">
                  <c:v>65.625</c:v>
                </c:pt>
                <c:pt idx="11">
                  <c:v>71.875</c:v>
                </c:pt>
                <c:pt idx="12">
                  <c:v>78.125</c:v>
                </c:pt>
                <c:pt idx="13">
                  <c:v>84.375</c:v>
                </c:pt>
                <c:pt idx="14">
                  <c:v>90.625</c:v>
                </c:pt>
                <c:pt idx="15">
                  <c:v>96.875</c:v>
                </c:pt>
              </c:numCache>
            </c:numRef>
          </c:xVal>
          <c:yVal>
            <c:numRef>
              <c:f>Longley!$O$30:$O$45</c:f>
              <c:numCache>
                <c:formatCode>General</c:formatCode>
                <c:ptCount val="16"/>
                <c:pt idx="0">
                  <c:v>60171</c:v>
                </c:pt>
                <c:pt idx="1">
                  <c:v>60323</c:v>
                </c:pt>
                <c:pt idx="2">
                  <c:v>61122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63761</c:v>
                </c:pt>
                <c:pt idx="7">
                  <c:v>64989</c:v>
                </c:pt>
                <c:pt idx="8">
                  <c:v>66019</c:v>
                </c:pt>
                <c:pt idx="9">
                  <c:v>66513</c:v>
                </c:pt>
                <c:pt idx="10">
                  <c:v>67857</c:v>
                </c:pt>
                <c:pt idx="11">
                  <c:v>68169</c:v>
                </c:pt>
                <c:pt idx="12">
                  <c:v>68655</c:v>
                </c:pt>
                <c:pt idx="13">
                  <c:v>69331</c:v>
                </c:pt>
                <c:pt idx="14">
                  <c:v>69564</c:v>
                </c:pt>
                <c:pt idx="15">
                  <c:v>70551</c:v>
                </c:pt>
              </c:numCache>
            </c:numRef>
          </c:yVal>
        </c:ser>
        <c:axId val="165330944"/>
        <c:axId val="165333248"/>
      </c:scatterChart>
      <c:valAx>
        <c:axId val="165330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Sample Percentile</a:t>
                </a:r>
              </a:p>
            </c:rich>
          </c:tx>
          <c:layout>
            <c:manualLayout>
              <c:xMode val="edge"/>
              <c:yMode val="edge"/>
              <c:x val="0.41927192694663168"/>
              <c:y val="0.7777820754861782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333248"/>
        <c:crosses val="autoZero"/>
        <c:crossBetween val="midCat"/>
      </c:valAx>
      <c:valAx>
        <c:axId val="16533324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0.2865515494773679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330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GNP Deflator  Residual Plot</a:t>
            </a:r>
          </a:p>
        </c:rich>
      </c:tx>
      <c:layout>
        <c:manualLayout>
          <c:xMode val="edge"/>
          <c:yMode val="edge"/>
          <c:x val="0.32629107981220656"/>
          <c:y val="3.343465045592704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197220229103004"/>
          <c:y val="0.17933130699088146"/>
          <c:w val="0.76291254702296762"/>
          <c:h val="0.68085106382978722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xVal>
          <c:yVal>
            <c:numRef>
              <c:f>Longley!$K$30:$K$45</c:f>
              <c:numCache>
                <c:formatCode>General</c:formatCode>
                <c:ptCount val="16"/>
                <c:pt idx="0">
                  <c:v>267.34002976026386</c:v>
                </c:pt>
                <c:pt idx="1">
                  <c:v>-94.013942398596555</c:v>
                </c:pt>
                <c:pt idx="2">
                  <c:v>46.287167758215219</c:v>
                </c:pt>
                <c:pt idx="3">
                  <c:v>-410.11462193122134</c:v>
                </c:pt>
                <c:pt idx="4">
                  <c:v>309.71459076041356</c:v>
                </c:pt>
                <c:pt idx="5">
                  <c:v>-249.31121532944962</c:v>
                </c:pt>
                <c:pt idx="6">
                  <c:v>-164.04895639559254</c:v>
                </c:pt>
                <c:pt idx="7">
                  <c:v>-13.180356866214424</c:v>
                </c:pt>
                <c:pt idx="8">
                  <c:v>14.304772599600255</c:v>
                </c:pt>
                <c:pt idx="9">
                  <c:v>455.39409455191344</c:v>
                </c:pt>
                <c:pt idx="10">
                  <c:v>-17.268927114550024</c:v>
                </c:pt>
                <c:pt idx="11">
                  <c:v>-39.055042522959411</c:v>
                </c:pt>
                <c:pt idx="12">
                  <c:v>-155.54997359542176</c:v>
                </c:pt>
                <c:pt idx="13">
                  <c:v>-85.671308041550219</c:v>
                </c:pt>
                <c:pt idx="14">
                  <c:v>341.93151396140456</c:v>
                </c:pt>
                <c:pt idx="15">
                  <c:v>-206.75782519346103</c:v>
                </c:pt>
              </c:numCache>
            </c:numRef>
          </c:yVal>
        </c:ser>
        <c:axId val="165377536"/>
        <c:axId val="165388288"/>
      </c:scatterChart>
      <c:valAx>
        <c:axId val="165377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GNP Deflator</a:t>
                </a:r>
              </a:p>
            </c:rich>
          </c:tx>
          <c:layout>
            <c:manualLayout>
              <c:xMode val="edge"/>
              <c:yMode val="edge"/>
              <c:x val="0.45774746466550831"/>
              <c:y val="0.89057750759878418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388288"/>
        <c:crosses val="autoZero"/>
        <c:crossBetween val="midCat"/>
      </c:valAx>
      <c:valAx>
        <c:axId val="1653882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Residuals</a:t>
                </a:r>
              </a:p>
            </c:rich>
          </c:tx>
          <c:layout>
            <c:manualLayout>
              <c:xMode val="edge"/>
              <c:yMode val="edge"/>
              <c:x val="3.7558685446009391E-2"/>
              <c:y val="0.4316109422492401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377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GNP Deflator Line Fit  Plot</a:t>
            </a:r>
          </a:p>
        </c:rich>
      </c:tx>
      <c:layout>
        <c:manualLayout>
          <c:xMode val="edge"/>
          <c:yMode val="edge"/>
          <c:x val="0.26014319809069214"/>
          <c:y val="3.343465045592704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8162291169451076"/>
          <c:y val="0.20972644376899696"/>
          <c:w val="0.40095465393794749"/>
          <c:h val="0.55319148936170215"/>
        </c:manualLayout>
      </c:layout>
      <c:scatterChart>
        <c:scatterStyle val="lineMarker"/>
        <c:ser>
          <c:idx val="0"/>
          <c:order val="0"/>
          <c:tx>
            <c:v>Response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xVal>
          <c:yVal>
            <c:numRef>
              <c:f>Longley!$A$2:$A$17</c:f>
              <c:numCache>
                <c:formatCode>0.00</c:formatCode>
                <c:ptCount val="16"/>
                <c:pt idx="0">
                  <c:v>60323</c:v>
                </c:pt>
                <c:pt idx="1">
                  <c:v>61122</c:v>
                </c:pt>
                <c:pt idx="2">
                  <c:v>60171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64989</c:v>
                </c:pt>
                <c:pt idx="7">
                  <c:v>63761</c:v>
                </c:pt>
                <c:pt idx="8">
                  <c:v>66019</c:v>
                </c:pt>
                <c:pt idx="9">
                  <c:v>67857</c:v>
                </c:pt>
                <c:pt idx="10">
                  <c:v>68169</c:v>
                </c:pt>
                <c:pt idx="11">
                  <c:v>66513</c:v>
                </c:pt>
                <c:pt idx="12">
                  <c:v>68655</c:v>
                </c:pt>
                <c:pt idx="13">
                  <c:v>69564</c:v>
                </c:pt>
                <c:pt idx="14">
                  <c:v>69331</c:v>
                </c:pt>
                <c:pt idx="15">
                  <c:v>70551</c:v>
                </c:pt>
              </c:numCache>
            </c:numRef>
          </c:yVal>
        </c:ser>
        <c:ser>
          <c:idx val="1"/>
          <c:order val="1"/>
          <c:tx>
            <c:v>Predicted Response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Longley!$B$2:$B$17</c:f>
              <c:numCache>
                <c:formatCode>0.00</c:formatCode>
                <c:ptCount val="16"/>
                <c:pt idx="0">
                  <c:v>83</c:v>
                </c:pt>
                <c:pt idx="1">
                  <c:v>88.5</c:v>
                </c:pt>
                <c:pt idx="2">
                  <c:v>88.2</c:v>
                </c:pt>
                <c:pt idx="3">
                  <c:v>89.5</c:v>
                </c:pt>
                <c:pt idx="4">
                  <c:v>96.2</c:v>
                </c:pt>
                <c:pt idx="5">
                  <c:v>98.1</c:v>
                </c:pt>
                <c:pt idx="6">
                  <c:v>99</c:v>
                </c:pt>
                <c:pt idx="7">
                  <c:v>100</c:v>
                </c:pt>
                <c:pt idx="8">
                  <c:v>101.2</c:v>
                </c:pt>
                <c:pt idx="9">
                  <c:v>104.6</c:v>
                </c:pt>
                <c:pt idx="10">
                  <c:v>108.4</c:v>
                </c:pt>
                <c:pt idx="11">
                  <c:v>110.8</c:v>
                </c:pt>
                <c:pt idx="12">
                  <c:v>112.6</c:v>
                </c:pt>
                <c:pt idx="13">
                  <c:v>114.2</c:v>
                </c:pt>
                <c:pt idx="14">
                  <c:v>115.7</c:v>
                </c:pt>
                <c:pt idx="15">
                  <c:v>116.9</c:v>
                </c:pt>
              </c:numCache>
            </c:numRef>
          </c:xVal>
          <c:yVal>
            <c:numRef>
              <c:f>Longley!$J$30:$J$45</c:f>
              <c:numCache>
                <c:formatCode>General</c:formatCode>
                <c:ptCount val="16"/>
                <c:pt idx="0">
                  <c:v>60055.659970239736</c:v>
                </c:pt>
                <c:pt idx="1">
                  <c:v>61216.013942398597</c:v>
                </c:pt>
                <c:pt idx="2">
                  <c:v>60124.712832241785</c:v>
                </c:pt>
                <c:pt idx="3">
                  <c:v>61597.114621931221</c:v>
                </c:pt>
                <c:pt idx="4">
                  <c:v>62911.285409239586</c:v>
                </c:pt>
                <c:pt idx="5">
                  <c:v>63888.31121532945</c:v>
                </c:pt>
                <c:pt idx="6">
                  <c:v>65153.048956395593</c:v>
                </c:pt>
                <c:pt idx="7">
                  <c:v>63774.180356866214</c:v>
                </c:pt>
                <c:pt idx="8">
                  <c:v>66004.6952274004</c:v>
                </c:pt>
                <c:pt idx="9">
                  <c:v>67401.605905448087</c:v>
                </c:pt>
                <c:pt idx="10">
                  <c:v>68186.26892711455</c:v>
                </c:pt>
                <c:pt idx="11">
                  <c:v>66552.055042522959</c:v>
                </c:pt>
                <c:pt idx="12">
                  <c:v>68810.549973595422</c:v>
                </c:pt>
                <c:pt idx="13">
                  <c:v>69649.67130804155</c:v>
                </c:pt>
                <c:pt idx="14">
                  <c:v>68989.068486038595</c:v>
                </c:pt>
                <c:pt idx="15">
                  <c:v>70757.757825193461</c:v>
                </c:pt>
              </c:numCache>
            </c:numRef>
          </c:yVal>
        </c:ser>
        <c:axId val="165426304"/>
        <c:axId val="165428608"/>
      </c:scatterChart>
      <c:valAx>
        <c:axId val="1654263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GNP Deflator</a:t>
                </a:r>
              </a:p>
            </c:rich>
          </c:tx>
          <c:layout>
            <c:manualLayout>
              <c:xMode val="edge"/>
              <c:yMode val="edge"/>
              <c:x val="0.36515513126491644"/>
              <c:y val="0.8693009118541033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428608"/>
        <c:crosses val="autoZero"/>
        <c:crossBetween val="midCat"/>
      </c:valAx>
      <c:valAx>
        <c:axId val="1654286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3.8186157517899763E-2"/>
              <c:y val="0.37082066869300911"/>
            </c:manualLayout>
          </c:layout>
          <c:spPr>
            <a:noFill/>
            <a:ln w="25400">
              <a:noFill/>
            </a:ln>
          </c:spPr>
        </c:title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426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6610978520286399"/>
          <c:y val="0.36170212765957449"/>
          <c:w val="0.98090692124105017"/>
          <c:h val="0.6139817629179331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Normal Probability Plot</a:t>
            </a:r>
          </a:p>
        </c:rich>
      </c:tx>
      <c:layout>
        <c:manualLayout>
          <c:xMode val="edge"/>
          <c:yMode val="edge"/>
          <c:x val="0.2722222222222222"/>
          <c:y val="3.363914373088684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3611175160522896"/>
          <c:y val="0.20489357826111626"/>
          <c:w val="0.69166854293767077"/>
          <c:h val="0.5902158299163499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Longley!$N$30:$N$45</c:f>
              <c:numCache>
                <c:formatCode>General</c:formatCode>
                <c:ptCount val="16"/>
                <c:pt idx="0">
                  <c:v>3.125</c:v>
                </c:pt>
                <c:pt idx="1">
                  <c:v>9.375</c:v>
                </c:pt>
                <c:pt idx="2">
                  <c:v>15.625</c:v>
                </c:pt>
                <c:pt idx="3">
                  <c:v>21.875</c:v>
                </c:pt>
                <c:pt idx="4">
                  <c:v>28.125</c:v>
                </c:pt>
                <c:pt idx="5">
                  <c:v>34.375</c:v>
                </c:pt>
                <c:pt idx="6">
                  <c:v>40.625</c:v>
                </c:pt>
                <c:pt idx="7">
                  <c:v>46.875</c:v>
                </c:pt>
                <c:pt idx="8">
                  <c:v>53.125</c:v>
                </c:pt>
                <c:pt idx="9">
                  <c:v>59.375</c:v>
                </c:pt>
                <c:pt idx="10">
                  <c:v>65.625</c:v>
                </c:pt>
                <c:pt idx="11">
                  <c:v>71.875</c:v>
                </c:pt>
                <c:pt idx="12">
                  <c:v>78.125</c:v>
                </c:pt>
                <c:pt idx="13">
                  <c:v>84.375</c:v>
                </c:pt>
                <c:pt idx="14">
                  <c:v>90.625</c:v>
                </c:pt>
                <c:pt idx="15">
                  <c:v>96.875</c:v>
                </c:pt>
              </c:numCache>
            </c:numRef>
          </c:xVal>
          <c:yVal>
            <c:numRef>
              <c:f>Longley!$O$30:$O$45</c:f>
              <c:numCache>
                <c:formatCode>General</c:formatCode>
                <c:ptCount val="16"/>
                <c:pt idx="0">
                  <c:v>60171</c:v>
                </c:pt>
                <c:pt idx="1">
                  <c:v>60323</c:v>
                </c:pt>
                <c:pt idx="2">
                  <c:v>61122</c:v>
                </c:pt>
                <c:pt idx="3">
                  <c:v>61187</c:v>
                </c:pt>
                <c:pt idx="4">
                  <c:v>63221</c:v>
                </c:pt>
                <c:pt idx="5">
                  <c:v>63639</c:v>
                </c:pt>
                <c:pt idx="6">
                  <c:v>63761</c:v>
                </c:pt>
                <c:pt idx="7">
                  <c:v>64989</c:v>
                </c:pt>
                <c:pt idx="8">
                  <c:v>66019</c:v>
                </c:pt>
                <c:pt idx="9">
                  <c:v>66513</c:v>
                </c:pt>
                <c:pt idx="10">
                  <c:v>67857</c:v>
                </c:pt>
                <c:pt idx="11">
                  <c:v>68169</c:v>
                </c:pt>
                <c:pt idx="12">
                  <c:v>68655</c:v>
                </c:pt>
                <c:pt idx="13">
                  <c:v>69331</c:v>
                </c:pt>
                <c:pt idx="14">
                  <c:v>69564</c:v>
                </c:pt>
                <c:pt idx="15">
                  <c:v>70551</c:v>
                </c:pt>
              </c:numCache>
            </c:numRef>
          </c:yVal>
        </c:ser>
        <c:axId val="165463936"/>
        <c:axId val="165474688"/>
      </c:scatterChart>
      <c:valAx>
        <c:axId val="165463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Sample Percentile</a:t>
                </a:r>
              </a:p>
            </c:rich>
          </c:tx>
          <c:layout>
            <c:manualLayout>
              <c:xMode val="edge"/>
              <c:yMode val="edge"/>
              <c:x val="0.43055672207640711"/>
              <c:y val="0.8868527213914774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474688"/>
        <c:crosses val="autoZero"/>
        <c:crossBetween val="midCat"/>
      </c:valAx>
      <c:valAx>
        <c:axId val="1654746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4444444444444446E-2"/>
              <c:y val="0.406729112989316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463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18" Type="http://schemas.openxmlformats.org/officeDocument/2006/relationships/chart" Target="../charts/chart45.xml"/><Relationship Id="rId26" Type="http://schemas.openxmlformats.org/officeDocument/2006/relationships/chart" Target="../charts/chart53.xml"/><Relationship Id="rId3" Type="http://schemas.openxmlformats.org/officeDocument/2006/relationships/chart" Target="../charts/chart30.xml"/><Relationship Id="rId21" Type="http://schemas.openxmlformats.org/officeDocument/2006/relationships/chart" Target="../charts/chart48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17" Type="http://schemas.openxmlformats.org/officeDocument/2006/relationships/chart" Target="../charts/chart44.xml"/><Relationship Id="rId25" Type="http://schemas.openxmlformats.org/officeDocument/2006/relationships/chart" Target="../charts/chart52.xml"/><Relationship Id="rId2" Type="http://schemas.openxmlformats.org/officeDocument/2006/relationships/chart" Target="../charts/chart29.xml"/><Relationship Id="rId16" Type="http://schemas.openxmlformats.org/officeDocument/2006/relationships/chart" Target="../charts/chart43.xml"/><Relationship Id="rId20" Type="http://schemas.openxmlformats.org/officeDocument/2006/relationships/chart" Target="../charts/chart47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24" Type="http://schemas.openxmlformats.org/officeDocument/2006/relationships/chart" Target="../charts/chart51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23" Type="http://schemas.openxmlformats.org/officeDocument/2006/relationships/chart" Target="../charts/chart50.xml"/><Relationship Id="rId28" Type="http://schemas.openxmlformats.org/officeDocument/2006/relationships/chart" Target="../charts/chart55.xml"/><Relationship Id="rId10" Type="http://schemas.openxmlformats.org/officeDocument/2006/relationships/chart" Target="../charts/chart37.xml"/><Relationship Id="rId19" Type="http://schemas.openxmlformats.org/officeDocument/2006/relationships/chart" Target="../charts/chart46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Relationship Id="rId22" Type="http://schemas.openxmlformats.org/officeDocument/2006/relationships/chart" Target="../charts/chart49.xml"/><Relationship Id="rId27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0</xdr:row>
      <xdr:rowOff>142875</xdr:rowOff>
    </xdr:from>
    <xdr:to>
      <xdr:col>22</xdr:col>
      <xdr:colOff>85725</xdr:colOff>
      <xdr:row>24</xdr:row>
      <xdr:rowOff>152400</xdr:rowOff>
    </xdr:to>
    <xdr:graphicFrame macro="">
      <xdr:nvGraphicFramePr>
        <xdr:cNvPr id="205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25</xdr:col>
      <xdr:colOff>0</xdr:colOff>
      <xdr:row>10</xdr:row>
      <xdr:rowOff>0</xdr:rowOff>
    </xdr:to>
    <xdr:graphicFrame macro="">
      <xdr:nvGraphicFramePr>
        <xdr:cNvPr id="3291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</xdr:row>
      <xdr:rowOff>0</xdr:rowOff>
    </xdr:from>
    <xdr:to>
      <xdr:col>26</xdr:col>
      <xdr:colOff>0</xdr:colOff>
      <xdr:row>12</xdr:row>
      <xdr:rowOff>0</xdr:rowOff>
    </xdr:to>
    <xdr:graphicFrame macro="">
      <xdr:nvGraphicFramePr>
        <xdr:cNvPr id="3291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</xdr:row>
      <xdr:rowOff>0</xdr:rowOff>
    </xdr:from>
    <xdr:to>
      <xdr:col>27</xdr:col>
      <xdr:colOff>0</xdr:colOff>
      <xdr:row>14</xdr:row>
      <xdr:rowOff>0</xdr:rowOff>
    </xdr:to>
    <xdr:graphicFrame macro="">
      <xdr:nvGraphicFramePr>
        <xdr:cNvPr id="3291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6</xdr:row>
      <xdr:rowOff>0</xdr:rowOff>
    </xdr:from>
    <xdr:to>
      <xdr:col>28</xdr:col>
      <xdr:colOff>0</xdr:colOff>
      <xdr:row>16</xdr:row>
      <xdr:rowOff>0</xdr:rowOff>
    </xdr:to>
    <xdr:graphicFrame macro="">
      <xdr:nvGraphicFramePr>
        <xdr:cNvPr id="3291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8</xdr:row>
      <xdr:rowOff>0</xdr:rowOff>
    </xdr:from>
    <xdr:to>
      <xdr:col>29</xdr:col>
      <xdr:colOff>0</xdr:colOff>
      <xdr:row>18</xdr:row>
      <xdr:rowOff>0</xdr:rowOff>
    </xdr:to>
    <xdr:graphicFrame macro="">
      <xdr:nvGraphicFramePr>
        <xdr:cNvPr id="3291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10</xdr:row>
      <xdr:rowOff>0</xdr:rowOff>
    </xdr:from>
    <xdr:to>
      <xdr:col>30</xdr:col>
      <xdr:colOff>0</xdr:colOff>
      <xdr:row>20</xdr:row>
      <xdr:rowOff>0</xdr:rowOff>
    </xdr:to>
    <xdr:graphicFrame macro="">
      <xdr:nvGraphicFramePr>
        <xdr:cNvPr id="3291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12</xdr:row>
      <xdr:rowOff>0</xdr:rowOff>
    </xdr:from>
    <xdr:to>
      <xdr:col>31</xdr:col>
      <xdr:colOff>0</xdr:colOff>
      <xdr:row>22</xdr:row>
      <xdr:rowOff>0</xdr:rowOff>
    </xdr:to>
    <xdr:graphicFrame macro="">
      <xdr:nvGraphicFramePr>
        <xdr:cNvPr id="3291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32</xdr:col>
      <xdr:colOff>0</xdr:colOff>
      <xdr:row>24</xdr:row>
      <xdr:rowOff>0</xdr:rowOff>
    </xdr:to>
    <xdr:graphicFrame macro="">
      <xdr:nvGraphicFramePr>
        <xdr:cNvPr id="3291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0</xdr:colOff>
      <xdr:row>16</xdr:row>
      <xdr:rowOff>0</xdr:rowOff>
    </xdr:from>
    <xdr:to>
      <xdr:col>33</xdr:col>
      <xdr:colOff>0</xdr:colOff>
      <xdr:row>26</xdr:row>
      <xdr:rowOff>0</xdr:rowOff>
    </xdr:to>
    <xdr:graphicFrame macro="">
      <xdr:nvGraphicFramePr>
        <xdr:cNvPr id="3292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0</xdr:colOff>
      <xdr:row>18</xdr:row>
      <xdr:rowOff>0</xdr:rowOff>
    </xdr:from>
    <xdr:to>
      <xdr:col>34</xdr:col>
      <xdr:colOff>0</xdr:colOff>
      <xdr:row>28</xdr:row>
      <xdr:rowOff>0</xdr:rowOff>
    </xdr:to>
    <xdr:graphicFrame macro="">
      <xdr:nvGraphicFramePr>
        <xdr:cNvPr id="3292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0</xdr:colOff>
      <xdr:row>20</xdr:row>
      <xdr:rowOff>0</xdr:rowOff>
    </xdr:from>
    <xdr:to>
      <xdr:col>35</xdr:col>
      <xdr:colOff>0</xdr:colOff>
      <xdr:row>30</xdr:row>
      <xdr:rowOff>0</xdr:rowOff>
    </xdr:to>
    <xdr:graphicFrame macro="">
      <xdr:nvGraphicFramePr>
        <xdr:cNvPr id="3292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400050</xdr:colOff>
      <xdr:row>23</xdr:row>
      <xdr:rowOff>95250</xdr:rowOff>
    </xdr:from>
    <xdr:to>
      <xdr:col>42</xdr:col>
      <xdr:colOff>400050</xdr:colOff>
      <xdr:row>33</xdr:row>
      <xdr:rowOff>104775</xdr:rowOff>
    </xdr:to>
    <xdr:graphicFrame macro="">
      <xdr:nvGraphicFramePr>
        <xdr:cNvPr id="3292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238125</xdr:colOff>
      <xdr:row>39</xdr:row>
      <xdr:rowOff>104775</xdr:rowOff>
    </xdr:from>
    <xdr:to>
      <xdr:col>36</xdr:col>
      <xdr:colOff>238125</xdr:colOff>
      <xdr:row>49</xdr:row>
      <xdr:rowOff>104775</xdr:rowOff>
    </xdr:to>
    <xdr:graphicFrame macro="">
      <xdr:nvGraphicFramePr>
        <xdr:cNvPr id="3292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0</xdr:colOff>
      <xdr:row>10</xdr:row>
      <xdr:rowOff>0</xdr:rowOff>
    </xdr:to>
    <xdr:graphicFrame macro="">
      <xdr:nvGraphicFramePr>
        <xdr:cNvPr id="3292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2</xdr:row>
      <xdr:rowOff>0</xdr:rowOff>
    </xdr:from>
    <xdr:to>
      <xdr:col>26</xdr:col>
      <xdr:colOff>0</xdr:colOff>
      <xdr:row>12</xdr:row>
      <xdr:rowOff>0</xdr:rowOff>
    </xdr:to>
    <xdr:graphicFrame macro="">
      <xdr:nvGraphicFramePr>
        <xdr:cNvPr id="3292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4</xdr:row>
      <xdr:rowOff>0</xdr:rowOff>
    </xdr:from>
    <xdr:to>
      <xdr:col>27</xdr:col>
      <xdr:colOff>0</xdr:colOff>
      <xdr:row>14</xdr:row>
      <xdr:rowOff>0</xdr:rowOff>
    </xdr:to>
    <xdr:graphicFrame macro="">
      <xdr:nvGraphicFramePr>
        <xdr:cNvPr id="3292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22</xdr:col>
      <xdr:colOff>0</xdr:colOff>
      <xdr:row>6</xdr:row>
      <xdr:rowOff>0</xdr:rowOff>
    </xdr:from>
    <xdr:to>
      <xdr:col>28</xdr:col>
      <xdr:colOff>0</xdr:colOff>
      <xdr:row>16</xdr:row>
      <xdr:rowOff>0</xdr:rowOff>
    </xdr:to>
    <xdr:graphicFrame macro="">
      <xdr:nvGraphicFramePr>
        <xdr:cNvPr id="3292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23</xdr:col>
      <xdr:colOff>0</xdr:colOff>
      <xdr:row>8</xdr:row>
      <xdr:rowOff>0</xdr:rowOff>
    </xdr:from>
    <xdr:to>
      <xdr:col>29</xdr:col>
      <xdr:colOff>0</xdr:colOff>
      <xdr:row>18</xdr:row>
      <xdr:rowOff>0</xdr:rowOff>
    </xdr:to>
    <xdr:graphicFrame macro="">
      <xdr:nvGraphicFramePr>
        <xdr:cNvPr id="3292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24</xdr:col>
      <xdr:colOff>0</xdr:colOff>
      <xdr:row>10</xdr:row>
      <xdr:rowOff>0</xdr:rowOff>
    </xdr:from>
    <xdr:to>
      <xdr:col>30</xdr:col>
      <xdr:colOff>0</xdr:colOff>
      <xdr:row>20</xdr:row>
      <xdr:rowOff>0</xdr:rowOff>
    </xdr:to>
    <xdr:graphicFrame macro="">
      <xdr:nvGraphicFramePr>
        <xdr:cNvPr id="3293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0</xdr:colOff>
      <xdr:row>12</xdr:row>
      <xdr:rowOff>0</xdr:rowOff>
    </xdr:from>
    <xdr:to>
      <xdr:col>31</xdr:col>
      <xdr:colOff>0</xdr:colOff>
      <xdr:row>22</xdr:row>
      <xdr:rowOff>0</xdr:rowOff>
    </xdr:to>
    <xdr:graphicFrame macro="">
      <xdr:nvGraphicFramePr>
        <xdr:cNvPr id="3293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32</xdr:col>
      <xdr:colOff>0</xdr:colOff>
      <xdr:row>24</xdr:row>
      <xdr:rowOff>0</xdr:rowOff>
    </xdr:to>
    <xdr:graphicFrame macro="">
      <xdr:nvGraphicFramePr>
        <xdr:cNvPr id="3293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27</xdr:col>
      <xdr:colOff>0</xdr:colOff>
      <xdr:row>16</xdr:row>
      <xdr:rowOff>0</xdr:rowOff>
    </xdr:from>
    <xdr:to>
      <xdr:col>33</xdr:col>
      <xdr:colOff>0</xdr:colOff>
      <xdr:row>26</xdr:row>
      <xdr:rowOff>0</xdr:rowOff>
    </xdr:to>
    <xdr:graphicFrame macro="">
      <xdr:nvGraphicFramePr>
        <xdr:cNvPr id="3293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28</xdr:col>
      <xdr:colOff>0</xdr:colOff>
      <xdr:row>18</xdr:row>
      <xdr:rowOff>0</xdr:rowOff>
    </xdr:from>
    <xdr:to>
      <xdr:col>34</xdr:col>
      <xdr:colOff>0</xdr:colOff>
      <xdr:row>28</xdr:row>
      <xdr:rowOff>0</xdr:rowOff>
    </xdr:to>
    <xdr:graphicFrame macro="">
      <xdr:nvGraphicFramePr>
        <xdr:cNvPr id="3293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29</xdr:col>
      <xdr:colOff>0</xdr:colOff>
      <xdr:row>20</xdr:row>
      <xdr:rowOff>0</xdr:rowOff>
    </xdr:from>
    <xdr:to>
      <xdr:col>35</xdr:col>
      <xdr:colOff>0</xdr:colOff>
      <xdr:row>30</xdr:row>
      <xdr:rowOff>0</xdr:rowOff>
    </xdr:to>
    <xdr:graphicFrame macro="">
      <xdr:nvGraphicFramePr>
        <xdr:cNvPr id="3293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30</xdr:col>
      <xdr:colOff>0</xdr:colOff>
      <xdr:row>22</xdr:row>
      <xdr:rowOff>0</xdr:rowOff>
    </xdr:from>
    <xdr:to>
      <xdr:col>36</xdr:col>
      <xdr:colOff>0</xdr:colOff>
      <xdr:row>32</xdr:row>
      <xdr:rowOff>0</xdr:rowOff>
    </xdr:to>
    <xdr:graphicFrame macro="">
      <xdr:nvGraphicFramePr>
        <xdr:cNvPr id="3293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31</xdr:col>
      <xdr:colOff>0</xdr:colOff>
      <xdr:row>24</xdr:row>
      <xdr:rowOff>0</xdr:rowOff>
    </xdr:from>
    <xdr:to>
      <xdr:col>37</xdr:col>
      <xdr:colOff>0</xdr:colOff>
      <xdr:row>34</xdr:row>
      <xdr:rowOff>0</xdr:rowOff>
    </xdr:to>
    <xdr:graphicFrame macro="">
      <xdr:nvGraphicFramePr>
        <xdr:cNvPr id="3293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22</xdr:row>
      <xdr:rowOff>0</xdr:rowOff>
    </xdr:from>
    <xdr:to>
      <xdr:col>30</xdr:col>
      <xdr:colOff>0</xdr:colOff>
      <xdr:row>32</xdr:row>
      <xdr:rowOff>0</xdr:rowOff>
    </xdr:to>
    <xdr:graphicFrame macro="">
      <xdr:nvGraphicFramePr>
        <xdr:cNvPr id="12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0</xdr:colOff>
      <xdr:row>24</xdr:row>
      <xdr:rowOff>0</xdr:rowOff>
    </xdr:from>
    <xdr:to>
      <xdr:col>31</xdr:col>
      <xdr:colOff>0</xdr:colOff>
      <xdr:row>34</xdr:row>
      <xdr:rowOff>0</xdr:rowOff>
    </xdr:to>
    <xdr:graphicFrame macro="">
      <xdr:nvGraphicFramePr>
        <xdr:cNvPr id="122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0</xdr:colOff>
      <xdr:row>26</xdr:row>
      <xdr:rowOff>0</xdr:rowOff>
    </xdr:from>
    <xdr:to>
      <xdr:col>32</xdr:col>
      <xdr:colOff>0</xdr:colOff>
      <xdr:row>36</xdr:row>
      <xdr:rowOff>0</xdr:rowOff>
    </xdr:to>
    <xdr:graphicFrame macro="">
      <xdr:nvGraphicFramePr>
        <xdr:cNvPr id="122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28</xdr:row>
      <xdr:rowOff>0</xdr:rowOff>
    </xdr:from>
    <xdr:to>
      <xdr:col>33</xdr:col>
      <xdr:colOff>0</xdr:colOff>
      <xdr:row>41</xdr:row>
      <xdr:rowOff>0</xdr:rowOff>
    </xdr:to>
    <xdr:graphicFrame macro="">
      <xdr:nvGraphicFramePr>
        <xdr:cNvPr id="122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0</xdr:colOff>
      <xdr:row>30</xdr:row>
      <xdr:rowOff>0</xdr:rowOff>
    </xdr:from>
    <xdr:to>
      <xdr:col>34</xdr:col>
      <xdr:colOff>0</xdr:colOff>
      <xdr:row>43</xdr:row>
      <xdr:rowOff>0</xdr:rowOff>
    </xdr:to>
    <xdr:graphicFrame macro="">
      <xdr:nvGraphicFramePr>
        <xdr:cNvPr id="122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123825</xdr:colOff>
      <xdr:row>88</xdr:row>
      <xdr:rowOff>66675</xdr:rowOff>
    </xdr:from>
    <xdr:to>
      <xdr:col>39</xdr:col>
      <xdr:colOff>409575</xdr:colOff>
      <xdr:row>111</xdr:row>
      <xdr:rowOff>47625</xdr:rowOff>
    </xdr:to>
    <xdr:graphicFrame macro="">
      <xdr:nvGraphicFramePr>
        <xdr:cNvPr id="122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0</xdr:colOff>
      <xdr:row>34</xdr:row>
      <xdr:rowOff>0</xdr:rowOff>
    </xdr:from>
    <xdr:to>
      <xdr:col>36</xdr:col>
      <xdr:colOff>0</xdr:colOff>
      <xdr:row>47</xdr:row>
      <xdr:rowOff>0</xdr:rowOff>
    </xdr:to>
    <xdr:graphicFrame macro="">
      <xdr:nvGraphicFramePr>
        <xdr:cNvPr id="122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0</xdr:colOff>
      <xdr:row>39</xdr:row>
      <xdr:rowOff>0</xdr:rowOff>
    </xdr:from>
    <xdr:to>
      <xdr:col>37</xdr:col>
      <xdr:colOff>0</xdr:colOff>
      <xdr:row>49</xdr:row>
      <xdr:rowOff>0</xdr:rowOff>
    </xdr:to>
    <xdr:graphicFrame macro="">
      <xdr:nvGraphicFramePr>
        <xdr:cNvPr id="122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41</xdr:row>
      <xdr:rowOff>0</xdr:rowOff>
    </xdr:from>
    <xdr:to>
      <xdr:col>38</xdr:col>
      <xdr:colOff>0</xdr:colOff>
      <xdr:row>51</xdr:row>
      <xdr:rowOff>0</xdr:rowOff>
    </xdr:to>
    <xdr:graphicFrame macro="">
      <xdr:nvGraphicFramePr>
        <xdr:cNvPr id="1229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0</xdr:colOff>
      <xdr:row>43</xdr:row>
      <xdr:rowOff>0</xdr:rowOff>
    </xdr:from>
    <xdr:to>
      <xdr:col>39</xdr:col>
      <xdr:colOff>0</xdr:colOff>
      <xdr:row>53</xdr:row>
      <xdr:rowOff>0</xdr:rowOff>
    </xdr:to>
    <xdr:graphicFrame macro="">
      <xdr:nvGraphicFramePr>
        <xdr:cNvPr id="1230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45</xdr:row>
      <xdr:rowOff>0</xdr:rowOff>
    </xdr:from>
    <xdr:to>
      <xdr:col>40</xdr:col>
      <xdr:colOff>0</xdr:colOff>
      <xdr:row>55</xdr:row>
      <xdr:rowOff>0</xdr:rowOff>
    </xdr:to>
    <xdr:graphicFrame macro="">
      <xdr:nvGraphicFramePr>
        <xdr:cNvPr id="1231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228600</xdr:colOff>
      <xdr:row>56</xdr:row>
      <xdr:rowOff>76200</xdr:rowOff>
    </xdr:from>
    <xdr:to>
      <xdr:col>40</xdr:col>
      <xdr:colOff>628650</xdr:colOff>
      <xdr:row>84</xdr:row>
      <xdr:rowOff>57150</xdr:rowOff>
    </xdr:to>
    <xdr:graphicFrame macro="">
      <xdr:nvGraphicFramePr>
        <xdr:cNvPr id="1232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0</xdr:row>
      <xdr:rowOff>0</xdr:rowOff>
    </xdr:from>
    <xdr:to>
      <xdr:col>23</xdr:col>
      <xdr:colOff>0</xdr:colOff>
      <xdr:row>10</xdr:row>
      <xdr:rowOff>0</xdr:rowOff>
    </xdr:to>
    <xdr:graphicFrame macro="">
      <xdr:nvGraphicFramePr>
        <xdr:cNvPr id="1233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24</xdr:col>
      <xdr:colOff>0</xdr:colOff>
      <xdr:row>12</xdr:row>
      <xdr:rowOff>0</xdr:rowOff>
    </xdr:to>
    <xdr:graphicFrame macro="">
      <xdr:nvGraphicFramePr>
        <xdr:cNvPr id="1234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4</xdr:row>
      <xdr:rowOff>0</xdr:rowOff>
    </xdr:from>
    <xdr:to>
      <xdr:col>25</xdr:col>
      <xdr:colOff>0</xdr:colOff>
      <xdr:row>14</xdr:row>
      <xdr:rowOff>0</xdr:rowOff>
    </xdr:to>
    <xdr:graphicFrame macro="">
      <xdr:nvGraphicFramePr>
        <xdr:cNvPr id="1235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20</xdr:col>
      <xdr:colOff>0</xdr:colOff>
      <xdr:row>6</xdr:row>
      <xdr:rowOff>0</xdr:rowOff>
    </xdr:from>
    <xdr:to>
      <xdr:col>26</xdr:col>
      <xdr:colOff>0</xdr:colOff>
      <xdr:row>16</xdr:row>
      <xdr:rowOff>0</xdr:rowOff>
    </xdr:to>
    <xdr:graphicFrame macro="">
      <xdr:nvGraphicFramePr>
        <xdr:cNvPr id="1236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8</xdr:row>
      <xdr:rowOff>0</xdr:rowOff>
    </xdr:from>
    <xdr:to>
      <xdr:col>27</xdr:col>
      <xdr:colOff>0</xdr:colOff>
      <xdr:row>18</xdr:row>
      <xdr:rowOff>0</xdr:rowOff>
    </xdr:to>
    <xdr:graphicFrame macro="">
      <xdr:nvGraphicFramePr>
        <xdr:cNvPr id="1237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0</xdr:colOff>
      <xdr:row>10</xdr:row>
      <xdr:rowOff>0</xdr:rowOff>
    </xdr:from>
    <xdr:to>
      <xdr:col>28</xdr:col>
      <xdr:colOff>0</xdr:colOff>
      <xdr:row>20</xdr:row>
      <xdr:rowOff>0</xdr:rowOff>
    </xdr:to>
    <xdr:graphicFrame macro="">
      <xdr:nvGraphicFramePr>
        <xdr:cNvPr id="1238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23</xdr:col>
      <xdr:colOff>0</xdr:colOff>
      <xdr:row>12</xdr:row>
      <xdr:rowOff>0</xdr:rowOff>
    </xdr:from>
    <xdr:to>
      <xdr:col>29</xdr:col>
      <xdr:colOff>0</xdr:colOff>
      <xdr:row>22</xdr:row>
      <xdr:rowOff>0</xdr:rowOff>
    </xdr:to>
    <xdr:graphicFrame macro="">
      <xdr:nvGraphicFramePr>
        <xdr:cNvPr id="123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0</xdr:colOff>
      <xdr:row>14</xdr:row>
      <xdr:rowOff>0</xdr:rowOff>
    </xdr:from>
    <xdr:to>
      <xdr:col>30</xdr:col>
      <xdr:colOff>0</xdr:colOff>
      <xdr:row>24</xdr:row>
      <xdr:rowOff>0</xdr:rowOff>
    </xdr:to>
    <xdr:graphicFrame macro="">
      <xdr:nvGraphicFramePr>
        <xdr:cNvPr id="1240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0</xdr:colOff>
      <xdr:row>16</xdr:row>
      <xdr:rowOff>0</xdr:rowOff>
    </xdr:from>
    <xdr:to>
      <xdr:col>31</xdr:col>
      <xdr:colOff>0</xdr:colOff>
      <xdr:row>26</xdr:row>
      <xdr:rowOff>0</xdr:rowOff>
    </xdr:to>
    <xdr:graphicFrame macro="">
      <xdr:nvGraphicFramePr>
        <xdr:cNvPr id="1241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26</xdr:col>
      <xdr:colOff>0</xdr:colOff>
      <xdr:row>18</xdr:row>
      <xdr:rowOff>0</xdr:rowOff>
    </xdr:from>
    <xdr:to>
      <xdr:col>32</xdr:col>
      <xdr:colOff>0</xdr:colOff>
      <xdr:row>28</xdr:row>
      <xdr:rowOff>0</xdr:rowOff>
    </xdr:to>
    <xdr:graphicFrame macro="">
      <xdr:nvGraphicFramePr>
        <xdr:cNvPr id="1242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27</xdr:col>
      <xdr:colOff>0</xdr:colOff>
      <xdr:row>20</xdr:row>
      <xdr:rowOff>0</xdr:rowOff>
    </xdr:from>
    <xdr:to>
      <xdr:col>33</xdr:col>
      <xdr:colOff>0</xdr:colOff>
      <xdr:row>30</xdr:row>
      <xdr:rowOff>0</xdr:rowOff>
    </xdr:to>
    <xdr:graphicFrame macro="">
      <xdr:nvGraphicFramePr>
        <xdr:cNvPr id="1243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28</xdr:col>
      <xdr:colOff>0</xdr:colOff>
      <xdr:row>22</xdr:row>
      <xdr:rowOff>0</xdr:rowOff>
    </xdr:from>
    <xdr:to>
      <xdr:col>34</xdr:col>
      <xdr:colOff>0</xdr:colOff>
      <xdr:row>32</xdr:row>
      <xdr:rowOff>0</xdr:rowOff>
    </xdr:to>
    <xdr:graphicFrame macro="">
      <xdr:nvGraphicFramePr>
        <xdr:cNvPr id="1244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29</xdr:col>
      <xdr:colOff>0</xdr:colOff>
      <xdr:row>24</xdr:row>
      <xdr:rowOff>0</xdr:rowOff>
    </xdr:from>
    <xdr:to>
      <xdr:col>35</xdr:col>
      <xdr:colOff>0</xdr:colOff>
      <xdr:row>34</xdr:row>
      <xdr:rowOff>0</xdr:rowOff>
    </xdr:to>
    <xdr:graphicFrame macro="">
      <xdr:nvGraphicFramePr>
        <xdr:cNvPr id="1245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37</xdr:col>
      <xdr:colOff>0</xdr:colOff>
      <xdr:row>1</xdr:row>
      <xdr:rowOff>0</xdr:rowOff>
    </xdr:from>
    <xdr:to>
      <xdr:col>39</xdr:col>
      <xdr:colOff>1181100</xdr:colOff>
      <xdr:row>20</xdr:row>
      <xdr:rowOff>9525</xdr:rowOff>
    </xdr:to>
    <xdr:graphicFrame macro="">
      <xdr:nvGraphicFramePr>
        <xdr:cNvPr id="1246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40</xdr:col>
      <xdr:colOff>66675</xdr:colOff>
      <xdr:row>1</xdr:row>
      <xdr:rowOff>0</xdr:rowOff>
    </xdr:from>
    <xdr:to>
      <xdr:col>45</xdr:col>
      <xdr:colOff>180975</xdr:colOff>
      <xdr:row>20</xdr:row>
      <xdr:rowOff>9525</xdr:rowOff>
    </xdr:to>
    <xdr:graphicFrame macro="">
      <xdr:nvGraphicFramePr>
        <xdr:cNvPr id="1247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0</xdr:colOff>
      <xdr:row>1</xdr:row>
      <xdr:rowOff>0</xdr:rowOff>
    </xdr:from>
    <xdr:to>
      <xdr:col>50</xdr:col>
      <xdr:colOff>285750</xdr:colOff>
      <xdr:row>19</xdr:row>
      <xdr:rowOff>152400</xdr:rowOff>
    </xdr:to>
    <xdr:graphicFrame macro="">
      <xdr:nvGraphicFramePr>
        <xdr:cNvPr id="1248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MICROSOFT%20OFFICE/OFFICE/xlstart/heiser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MICROSOFT%20OFFICE/OFFICE/xlstart/heiser2.xla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heiser"/>
    </sheetNames>
    <definedNames>
      <definedName name="LRE"/>
      <definedName name="NewCORREL"/>
      <definedName name="NewCovar"/>
      <definedName name="NewLRE"/>
      <definedName name="NewMean"/>
      <definedName name="newpearson"/>
      <definedName name="NewSD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LR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66"/>
  <sheetViews>
    <sheetView workbookViewId="0">
      <selection sqref="A1:G1"/>
    </sheetView>
  </sheetViews>
  <sheetFormatPr defaultRowHeight="12.75"/>
  <cols>
    <col min="1" max="1" width="12.5703125" bestFit="1" customWidth="1"/>
    <col min="2" max="2" width="15.5703125" customWidth="1"/>
    <col min="3" max="3" width="14.28515625" customWidth="1"/>
    <col min="4" max="4" width="15.42578125" customWidth="1"/>
    <col min="5" max="5" width="13.7109375" customWidth="1"/>
    <col min="6" max="6" width="14.140625" customWidth="1"/>
    <col min="7" max="7" width="15.5703125" customWidth="1"/>
    <col min="8" max="8" width="15.140625" customWidth="1"/>
    <col min="9" max="9" width="20.5703125" customWidth="1"/>
    <col min="10" max="10" width="19" customWidth="1"/>
    <col min="11" max="11" width="20.140625" customWidth="1"/>
    <col min="12" max="12" width="19.85546875" customWidth="1"/>
    <col min="13" max="13" width="20.42578125" customWidth="1"/>
    <col min="14" max="14" width="22.42578125" customWidth="1"/>
    <col min="19" max="19" width="21.42578125" customWidth="1"/>
    <col min="20" max="20" width="13.42578125" customWidth="1"/>
    <col min="21" max="21" width="14.7109375" customWidth="1"/>
    <col min="22" max="22" width="13.28515625" customWidth="1"/>
    <col min="23" max="23" width="13.140625" customWidth="1"/>
    <col min="24" max="24" width="15.85546875" customWidth="1"/>
    <col min="29" max="29" width="19.140625" customWidth="1"/>
    <col min="30" max="30" width="23" customWidth="1"/>
    <col min="31" max="31" width="21.7109375" customWidth="1"/>
    <col min="32" max="32" width="19.85546875" customWidth="1"/>
    <col min="33" max="33" width="21.140625" customWidth="1"/>
    <col min="34" max="34" width="20.85546875" customWidth="1"/>
    <col min="35" max="35" width="20.140625" customWidth="1"/>
  </cols>
  <sheetData>
    <row r="1" spans="1:35">
      <c r="A1" t="s">
        <v>82</v>
      </c>
      <c r="B1" t="s">
        <v>81</v>
      </c>
      <c r="C1" t="s">
        <v>80</v>
      </c>
      <c r="D1" t="s">
        <v>79</v>
      </c>
      <c r="E1" t="s">
        <v>78</v>
      </c>
      <c r="F1" t="s">
        <v>77</v>
      </c>
      <c r="G1" t="s">
        <v>76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47</v>
      </c>
      <c r="R1" s="5"/>
      <c r="S1" s="5" t="s">
        <v>68</v>
      </c>
      <c r="T1" s="5" t="s">
        <v>69</v>
      </c>
      <c r="U1" s="5" t="s">
        <v>70</v>
      </c>
      <c r="V1" s="5" t="s">
        <v>71</v>
      </c>
      <c r="W1" s="5" t="s">
        <v>72</v>
      </c>
      <c r="X1" s="5" t="s">
        <v>73</v>
      </c>
      <c r="Y1" s="5" t="s">
        <v>74</v>
      </c>
      <c r="AB1" s="5"/>
      <c r="AC1" s="5" t="s">
        <v>68</v>
      </c>
      <c r="AD1" s="5" t="s">
        <v>69</v>
      </c>
      <c r="AE1" s="5" t="s">
        <v>70</v>
      </c>
      <c r="AF1" s="5" t="s">
        <v>71</v>
      </c>
      <c r="AG1" s="5" t="s">
        <v>72</v>
      </c>
      <c r="AH1" s="5" t="s">
        <v>73</v>
      </c>
      <c r="AI1" s="5" t="s">
        <v>74</v>
      </c>
    </row>
    <row r="2" spans="1:35">
      <c r="A2" s="3">
        <v>60323</v>
      </c>
      <c r="B2" s="3">
        <v>83</v>
      </c>
      <c r="C2" s="4">
        <v>234289</v>
      </c>
      <c r="D2" s="4">
        <v>2356</v>
      </c>
      <c r="E2" s="4">
        <v>1590</v>
      </c>
      <c r="F2" s="4">
        <v>107608</v>
      </c>
      <c r="G2" s="4">
        <v>1947</v>
      </c>
      <c r="H2" t="s">
        <v>43</v>
      </c>
      <c r="I2" s="9">
        <f>COVAR(A2:A17,B2:B17)</f>
        <v>34496.868750000001</v>
      </c>
      <c r="J2" s="9">
        <f>COVAR(B2:B17,C2:C17)</f>
        <v>997128.85820312519</v>
      </c>
      <c r="K2" s="9">
        <f>COVAR(C2:C17,D2:D17)</f>
        <v>52616596.73828125</v>
      </c>
      <c r="L2" s="9">
        <f>COVAR(D2:D17,E2:E17)</f>
        <v>-108167.58984375</v>
      </c>
      <c r="M2" s="9">
        <f>COVAR(F2:F17,G2:G17)</f>
        <v>30860.0625</v>
      </c>
      <c r="N2" s="9">
        <f>COVAR(C2:C17,F2:F17)</f>
        <v>642413385.5625</v>
      </c>
      <c r="R2" s="5" t="s">
        <v>68</v>
      </c>
      <c r="S2" s="18">
        <v>1</v>
      </c>
      <c r="T2" s="5"/>
      <c r="U2" s="5"/>
      <c r="V2" s="5"/>
      <c r="W2" s="5"/>
      <c r="X2" s="5"/>
      <c r="Y2" s="5"/>
      <c r="AB2" s="5" t="s">
        <v>68</v>
      </c>
      <c r="AC2" s="5">
        <f>VARP(Sheet1!$A$2:$A$17)</f>
        <v>11563051.625</v>
      </c>
      <c r="AD2" s="5"/>
      <c r="AE2" s="5"/>
      <c r="AF2" s="5"/>
      <c r="AG2" s="5"/>
      <c r="AH2" s="5"/>
      <c r="AI2" s="5"/>
    </row>
    <row r="3" spans="1:35">
      <c r="A3" s="3">
        <v>61122</v>
      </c>
      <c r="B3" s="3">
        <v>88.5</v>
      </c>
      <c r="C3" s="4">
        <v>259426</v>
      </c>
      <c r="D3" s="4">
        <v>2325</v>
      </c>
      <c r="E3" s="4">
        <v>1456</v>
      </c>
      <c r="F3" s="4">
        <v>108632</v>
      </c>
      <c r="G3" s="4">
        <v>1948</v>
      </c>
      <c r="H3" t="s">
        <v>44</v>
      </c>
      <c r="I3" s="10">
        <f>CORREL(A2:A17,B2:B17)</f>
        <v>0.97089852506105578</v>
      </c>
      <c r="J3" s="10">
        <f>CORREL(B2:B17,C2:C17)</f>
        <v>0.9915891780247823</v>
      </c>
      <c r="K3" s="10">
        <f>CORREL(C2:C17,D2:D17)</f>
        <v>0.60426093988955787</v>
      </c>
      <c r="L3" s="10">
        <f>CORREL(D2:D17,E2:E17)</f>
        <v>-0.17742062950187831</v>
      </c>
      <c r="M3" s="10">
        <f>CORREL(F2:F17,G2:G17)</f>
        <v>0.99395284623292546</v>
      </c>
      <c r="N3" s="10">
        <f>CORREL(C2:C17,F2:F17)</f>
        <v>0.99109006945847766</v>
      </c>
      <c r="R3" s="5" t="s">
        <v>69</v>
      </c>
      <c r="S3" s="18">
        <v>0.97089852506105578</v>
      </c>
      <c r="T3" s="5">
        <v>1</v>
      </c>
      <c r="U3" s="5"/>
      <c r="V3" s="5"/>
      <c r="W3" s="5"/>
      <c r="X3" s="5"/>
      <c r="Y3" s="5"/>
      <c r="AB3" s="5" t="s">
        <v>69</v>
      </c>
      <c r="AC3" s="5">
        <v>34496.868750000001</v>
      </c>
      <c r="AD3" s="18">
        <f>VARP(Sheet1!$B$2:$B$17)</f>
        <v>109.17902343750029</v>
      </c>
      <c r="AE3" s="5"/>
      <c r="AF3" s="5"/>
      <c r="AG3" s="5"/>
      <c r="AH3" s="5"/>
      <c r="AI3" s="5"/>
    </row>
    <row r="4" spans="1:35">
      <c r="A4" s="3">
        <v>60171</v>
      </c>
      <c r="B4" s="3">
        <v>88.2</v>
      </c>
      <c r="C4" s="4">
        <v>258054</v>
      </c>
      <c r="D4" s="4">
        <v>3682</v>
      </c>
      <c r="E4" s="4">
        <v>1616</v>
      </c>
      <c r="F4" s="4">
        <v>109773</v>
      </c>
      <c r="G4" s="4">
        <v>1949</v>
      </c>
      <c r="H4" t="s">
        <v>45</v>
      </c>
      <c r="I4" s="10">
        <f>PEARSON(A2:A17,B2:B17)</f>
        <v>0.97089852506105578</v>
      </c>
      <c r="J4" s="10">
        <f>PEARSON(B2:B17,C2:C17)</f>
        <v>0.9915891780247823</v>
      </c>
      <c r="K4" s="10">
        <f>PEARSON(C2:C17,D2:D17)</f>
        <v>0.60426093988955787</v>
      </c>
      <c r="L4" s="10">
        <f>PEARSON(D2:D17,E2:E17)</f>
        <v>-0.17742062950187831</v>
      </c>
      <c r="M4" s="10">
        <f>PEARSON(F2:F17,G2:G17)</f>
        <v>0.99395284623292546</v>
      </c>
      <c r="N4" s="10">
        <f>PEARSON(C2:C17,F2:F17)</f>
        <v>0.99109006945847766</v>
      </c>
      <c r="R4" s="5" t="s">
        <v>70</v>
      </c>
      <c r="S4" s="18">
        <v>0.98355161117966938</v>
      </c>
      <c r="T4" s="5">
        <v>0.9915891780247823</v>
      </c>
      <c r="U4" s="5">
        <v>1</v>
      </c>
      <c r="V4" s="5"/>
      <c r="W4" s="5"/>
      <c r="X4" s="5"/>
      <c r="Y4" s="5"/>
      <c r="AB4" s="5" t="s">
        <v>70</v>
      </c>
      <c r="AC4" s="5">
        <v>321872068.4375</v>
      </c>
      <c r="AD4" s="5">
        <v>997128.85820312519</v>
      </c>
      <c r="AE4" s="5">
        <f>VARP(Sheet1!$C$2:$C$17)</f>
        <v>9261894055.6210937</v>
      </c>
      <c r="AF4" s="5"/>
      <c r="AG4" s="5"/>
      <c r="AH4" s="5"/>
      <c r="AI4" s="5"/>
    </row>
    <row r="5" spans="1:35">
      <c r="A5" s="3">
        <v>61187</v>
      </c>
      <c r="B5" s="3">
        <v>89.5</v>
      </c>
      <c r="C5" s="4">
        <v>284599</v>
      </c>
      <c r="D5" s="4">
        <v>3351</v>
      </c>
      <c r="E5" s="4">
        <v>1650</v>
      </c>
      <c r="F5" s="4">
        <v>110929</v>
      </c>
      <c r="G5" s="4">
        <v>1950</v>
      </c>
      <c r="H5" t="s">
        <v>46</v>
      </c>
      <c r="I5" s="10">
        <f>RSQ(A2:A17,B2:B17)</f>
        <v>0.94264394596573353</v>
      </c>
      <c r="J5" s="10">
        <f>RSQ(B2:B17,C2:C17)</f>
        <v>0.98324909797586346</v>
      </c>
      <c r="K5" s="10">
        <f>RSQ(C2:C17,D2:D17)</f>
        <v>0.36513128347621188</v>
      </c>
      <c r="L5" s="10">
        <f>RSQ(D2:D17,E2:E17)</f>
        <v>3.1478079772842775E-2</v>
      </c>
      <c r="M5" s="10">
        <f>RSQ(F2:F17,G2:G17)</f>
        <v>0.9879422605345336</v>
      </c>
      <c r="N5" s="10">
        <f>RSQ(C2:C17,F2:F17)</f>
        <v>0.98225952577921005</v>
      </c>
      <c r="R5" s="5" t="s">
        <v>71</v>
      </c>
      <c r="S5" s="18">
        <v>0.50249808387599404</v>
      </c>
      <c r="T5" s="5">
        <v>0.62063339255909644</v>
      </c>
      <c r="U5" s="5">
        <v>0.60426093988955787</v>
      </c>
      <c r="V5" s="5">
        <v>1</v>
      </c>
      <c r="W5" s="5"/>
      <c r="X5" s="5"/>
      <c r="Y5" s="5"/>
      <c r="AB5" s="5" t="s">
        <v>71</v>
      </c>
      <c r="AC5" s="5">
        <v>1546033.75</v>
      </c>
      <c r="AD5" s="5">
        <v>5867.4996093749996</v>
      </c>
      <c r="AE5" s="5">
        <v>52616596.73828125</v>
      </c>
      <c r="AF5" s="5">
        <f>VARP(Sheet1!$D$2:$D$17)</f>
        <v>818646.96484375</v>
      </c>
      <c r="AG5" s="5"/>
      <c r="AH5" s="5"/>
      <c r="AI5" s="5"/>
    </row>
    <row r="6" spans="1:35">
      <c r="A6" s="3">
        <v>63221</v>
      </c>
      <c r="B6" s="3">
        <v>96.2</v>
      </c>
      <c r="C6" s="4">
        <v>328975</v>
      </c>
      <c r="D6" s="4">
        <v>2099</v>
      </c>
      <c r="E6" s="4">
        <v>3099</v>
      </c>
      <c r="F6" s="4">
        <v>112075</v>
      </c>
      <c r="G6" s="4">
        <v>1951</v>
      </c>
      <c r="H6" t="s">
        <v>75</v>
      </c>
      <c r="I6" s="12" t="e">
        <f ca="1">[1]!newpearson(A2:A17,B2:B17)</f>
        <v>#NAME?</v>
      </c>
      <c r="J6" s="12" t="e">
        <f ca="1">[1]!newpearson(B2:B17,C2:C17)</f>
        <v>#NAME?</v>
      </c>
      <c r="K6" s="12" t="e">
        <f ca="1">[1]!newpearson(C2:C17,D2:D17)</f>
        <v>#NAME?</v>
      </c>
      <c r="L6" s="12" t="e">
        <f ca="1">[1]!newpearson(D2:D17,E2:E17)</f>
        <v>#NAME?</v>
      </c>
      <c r="M6" s="12" t="e">
        <f ca="1">[1]!newpearson(F2:F17,G2:G17)</f>
        <v>#NAME?</v>
      </c>
      <c r="N6" s="12"/>
      <c r="R6" s="5" t="s">
        <v>72</v>
      </c>
      <c r="S6" s="18">
        <v>0.45730739997648173</v>
      </c>
      <c r="T6" s="5">
        <v>0.46474418760067454</v>
      </c>
      <c r="U6" s="5">
        <v>0.44643679189262642</v>
      </c>
      <c r="V6" s="5">
        <v>-0.17742062950187831</v>
      </c>
      <c r="W6" s="5">
        <v>1</v>
      </c>
      <c r="X6" s="5"/>
      <c r="Y6" s="5"/>
      <c r="AB6" s="5" t="s">
        <v>72</v>
      </c>
      <c r="AC6" s="5">
        <v>1047826</v>
      </c>
      <c r="AD6" s="5">
        <v>3272.1128906249992</v>
      </c>
      <c r="AE6" s="5">
        <v>28950401.57421875</v>
      </c>
      <c r="AF6" s="5">
        <v>-108167.58984375</v>
      </c>
      <c r="AG6" s="5">
        <f>VARP(Sheet1!$E$2:$E$17)</f>
        <v>454035.08984375</v>
      </c>
      <c r="AH6" s="5"/>
      <c r="AI6" s="5"/>
    </row>
    <row r="7" spans="1:35">
      <c r="A7" s="3">
        <v>63639</v>
      </c>
      <c r="B7" s="3">
        <v>98.1</v>
      </c>
      <c r="C7" s="4">
        <v>346999</v>
      </c>
      <c r="D7" s="4">
        <v>1932</v>
      </c>
      <c r="E7" s="4">
        <v>3594</v>
      </c>
      <c r="F7" s="4">
        <v>113270</v>
      </c>
      <c r="G7" s="4">
        <v>1952</v>
      </c>
      <c r="R7" s="5" t="s">
        <v>73</v>
      </c>
      <c r="S7" s="18">
        <v>0.96039057159437546</v>
      </c>
      <c r="T7" s="5">
        <v>0.97916343297749786</v>
      </c>
      <c r="U7" s="5">
        <v>0.99109006945847766</v>
      </c>
      <c r="V7" s="5">
        <v>0.68655151636531198</v>
      </c>
      <c r="W7" s="5">
        <v>0.36441626718903197</v>
      </c>
      <c r="X7" s="5">
        <v>1</v>
      </c>
      <c r="Y7" s="5"/>
      <c r="AB7" s="5" t="s">
        <v>73</v>
      </c>
      <c r="AC7" s="5">
        <v>21995592.875</v>
      </c>
      <c r="AD7" s="5">
        <v>68909.062499999985</v>
      </c>
      <c r="AE7" s="5">
        <v>642413385.5625</v>
      </c>
      <c r="AF7" s="5">
        <v>4183820.1875</v>
      </c>
      <c r="AG7" s="5">
        <v>1653842</v>
      </c>
      <c r="AH7" s="5">
        <f>VARP(Sheet1!$F$2:$F$17)</f>
        <v>45363139.625</v>
      </c>
      <c r="AI7" s="5"/>
    </row>
    <row r="8" spans="1:35">
      <c r="A8" s="3">
        <v>64989</v>
      </c>
      <c r="B8" s="3">
        <v>99</v>
      </c>
      <c r="C8" s="4">
        <v>365385</v>
      </c>
      <c r="D8" s="4">
        <v>1870</v>
      </c>
      <c r="E8" s="4">
        <v>3547</v>
      </c>
      <c r="F8" s="4">
        <v>115094</v>
      </c>
      <c r="G8" s="4">
        <v>1953</v>
      </c>
      <c r="I8" s="1" t="e">
        <f ca="1">[1]!LRE(I2,I21)</f>
        <v>#NAME?</v>
      </c>
      <c r="J8" s="1" t="e">
        <f ca="1">[1]!LRE(J2,J21)</f>
        <v>#NAME?</v>
      </c>
      <c r="K8" s="1" t="e">
        <f ca="1">[1]!LRE(K2,K21)</f>
        <v>#NAME?</v>
      </c>
      <c r="L8" s="1" t="e">
        <f ca="1">[1]!LRE(L2,L21)</f>
        <v>#NAME?</v>
      </c>
      <c r="M8" s="1" t="e">
        <f ca="1">[1]!LRE(M2,M21)</f>
        <v>#NAME?</v>
      </c>
      <c r="N8" s="1" t="e">
        <f ca="1">[1]!LRE(N2,N21)</f>
        <v>#NAME?</v>
      </c>
      <c r="R8" s="5" t="s">
        <v>74</v>
      </c>
      <c r="S8" s="18">
        <v>0.97132945919211866</v>
      </c>
      <c r="T8" s="5">
        <v>0.99114919006720537</v>
      </c>
      <c r="U8" s="5">
        <v>0.99527348376478475</v>
      </c>
      <c r="V8" s="5">
        <v>0.66825660456217462</v>
      </c>
      <c r="W8" s="5">
        <v>0.41724514983494537</v>
      </c>
      <c r="X8" s="5">
        <v>0.99395284623292546</v>
      </c>
      <c r="Y8" s="5">
        <v>1</v>
      </c>
      <c r="AB8" s="5" t="s">
        <v>74</v>
      </c>
      <c r="AC8" s="5">
        <v>15225.875</v>
      </c>
      <c r="AD8" s="5">
        <v>47.740625000000001</v>
      </c>
      <c r="AE8" s="5">
        <v>441541.78125</v>
      </c>
      <c r="AF8" s="5">
        <v>2787.21875</v>
      </c>
      <c r="AG8" s="5">
        <v>1296.03125</v>
      </c>
      <c r="AH8" s="5">
        <v>30860.0625</v>
      </c>
      <c r="AI8" s="5">
        <f>VARP(Sheet1!$G$2:$G$17)</f>
        <v>21.25</v>
      </c>
    </row>
    <row r="9" spans="1:35">
      <c r="A9" s="3">
        <v>63761</v>
      </c>
      <c r="B9" s="3">
        <v>100</v>
      </c>
      <c r="C9" s="4">
        <v>363112</v>
      </c>
      <c r="D9" s="4">
        <v>3578</v>
      </c>
      <c r="E9" s="4">
        <v>3350</v>
      </c>
      <c r="F9" s="4">
        <v>116219</v>
      </c>
      <c r="G9" s="4">
        <v>1954</v>
      </c>
      <c r="I9" s="1" t="e">
        <f ca="1">[1]!LRE(I3,I22)</f>
        <v>#NAME?</v>
      </c>
      <c r="J9" s="1" t="e">
        <f ca="1">[1]!LRE(J3,J22)</f>
        <v>#NAME?</v>
      </c>
      <c r="K9" s="1" t="e">
        <f ca="1">[1]!LRE(K3,K22)</f>
        <v>#NAME?</v>
      </c>
      <c r="L9" s="1" t="e">
        <f ca="1">[1]!LRE(L3,L22)</f>
        <v>#NAME?</v>
      </c>
      <c r="M9" s="1" t="e">
        <f ca="1">[1]!LRE(M3,M22)</f>
        <v>#NAME?</v>
      </c>
      <c r="N9" s="1" t="e">
        <f ca="1">[1]!LRE(N3,N22)</f>
        <v>#NAME?</v>
      </c>
    </row>
    <row r="10" spans="1:35">
      <c r="A10" s="3">
        <v>66019</v>
      </c>
      <c r="B10" s="3">
        <v>101.2</v>
      </c>
      <c r="C10" s="4">
        <v>397469</v>
      </c>
      <c r="D10" s="4">
        <v>2904</v>
      </c>
      <c r="E10" s="4">
        <v>3048</v>
      </c>
      <c r="F10" s="4">
        <v>117388</v>
      </c>
      <c r="G10" s="4">
        <v>1955</v>
      </c>
      <c r="I10" s="1" t="e">
        <f ca="1">[1]!LRE(I4,I23)</f>
        <v>#NAME?</v>
      </c>
      <c r="J10" s="1" t="e">
        <f ca="1">[1]!LRE(J4,J23)</f>
        <v>#NAME?</v>
      </c>
      <c r="K10" s="1" t="e">
        <f ca="1">[1]!LRE(K4,K23)</f>
        <v>#NAME?</v>
      </c>
      <c r="L10" s="1" t="e">
        <f ca="1">[1]!LRE(L4,L23)</f>
        <v>#NAME?</v>
      </c>
      <c r="M10" s="1" t="e">
        <f ca="1">[1]!LRE(M4,M23)</f>
        <v>#NAME?</v>
      </c>
      <c r="N10" s="1" t="e">
        <f ca="1">[1]!LRE(N4,N23)</f>
        <v>#NAME?</v>
      </c>
    </row>
    <row r="11" spans="1:35">
      <c r="A11" s="3">
        <v>67857</v>
      </c>
      <c r="B11" s="3">
        <v>104.6</v>
      </c>
      <c r="C11" s="4">
        <v>419180</v>
      </c>
      <c r="D11" s="4">
        <v>2822</v>
      </c>
      <c r="E11" s="4">
        <v>2857</v>
      </c>
      <c r="F11" s="4">
        <v>118734</v>
      </c>
      <c r="G11" s="4">
        <v>1956</v>
      </c>
      <c r="I11" s="1" t="e">
        <f ca="1">[1]!LRE(I5,I24)</f>
        <v>#NAME?</v>
      </c>
      <c r="J11" s="1" t="e">
        <f ca="1">[1]!LRE(J5,J24)</f>
        <v>#NAME?</v>
      </c>
      <c r="K11" s="1" t="e">
        <f ca="1">[1]!LRE(K5,K24)</f>
        <v>#NAME?</v>
      </c>
      <c r="L11" s="1" t="e">
        <f ca="1">[1]!LRE(L5,L24)</f>
        <v>#NAME?</v>
      </c>
      <c r="M11" s="1" t="e">
        <f ca="1">[1]!LRE(M5,M24)</f>
        <v>#NAME?</v>
      </c>
      <c r="N11" s="1" t="e">
        <f ca="1">[1]!LRE(N5,N24)</f>
        <v>#NAME?</v>
      </c>
      <c r="R11" s="5"/>
      <c r="S11" s="5" t="s">
        <v>68</v>
      </c>
      <c r="T11" s="5" t="s">
        <v>69</v>
      </c>
      <c r="U11" s="5" t="s">
        <v>70</v>
      </c>
      <c r="V11" s="5" t="s">
        <v>71</v>
      </c>
      <c r="W11" s="5" t="s">
        <v>72</v>
      </c>
      <c r="X11" s="5" t="s">
        <v>73</v>
      </c>
      <c r="Y11" s="5" t="s">
        <v>74</v>
      </c>
      <c r="AB11" s="5"/>
      <c r="AC11" s="5" t="s">
        <v>68</v>
      </c>
      <c r="AD11" s="5" t="s">
        <v>69</v>
      </c>
      <c r="AE11" s="5" t="s">
        <v>70</v>
      </c>
      <c r="AF11" s="5" t="s">
        <v>71</v>
      </c>
      <c r="AG11" s="5" t="s">
        <v>72</v>
      </c>
      <c r="AH11" s="5" t="s">
        <v>73</v>
      </c>
      <c r="AI11" s="5" t="s">
        <v>74</v>
      </c>
    </row>
    <row r="12" spans="1:35">
      <c r="A12" s="3">
        <v>68169</v>
      </c>
      <c r="B12" s="3">
        <v>108.4</v>
      </c>
      <c r="C12" s="4">
        <v>442769</v>
      </c>
      <c r="D12" s="4">
        <v>2936</v>
      </c>
      <c r="E12" s="4">
        <v>2798</v>
      </c>
      <c r="F12" s="4">
        <v>120445</v>
      </c>
      <c r="G12" s="4">
        <v>1957</v>
      </c>
      <c r="R12" s="5" t="s">
        <v>68</v>
      </c>
      <c r="S12" s="18">
        <v>1</v>
      </c>
      <c r="T12" s="5"/>
      <c r="U12" s="5"/>
      <c r="V12" s="5"/>
      <c r="W12" s="5"/>
      <c r="X12" s="5"/>
      <c r="Y12" s="5"/>
      <c r="AB12" s="5" t="s">
        <v>68</v>
      </c>
      <c r="AC12" s="5">
        <f>VARP(Sheet1!$A$21:$A$36)</f>
        <v>11563051.625</v>
      </c>
      <c r="AD12" s="5"/>
      <c r="AE12" s="5"/>
      <c r="AF12" s="5"/>
      <c r="AG12" s="5"/>
      <c r="AH12" s="5"/>
      <c r="AI12" s="5"/>
    </row>
    <row r="13" spans="1:35">
      <c r="A13" s="3">
        <v>66513</v>
      </c>
      <c r="B13" s="3">
        <v>110.8</v>
      </c>
      <c r="C13" s="4">
        <v>444546</v>
      </c>
      <c r="D13" s="4">
        <v>4681</v>
      </c>
      <c r="E13" s="4">
        <v>2637</v>
      </c>
      <c r="F13" s="4">
        <v>121950</v>
      </c>
      <c r="G13" s="4">
        <v>1958</v>
      </c>
      <c r="R13" s="5" t="s">
        <v>69</v>
      </c>
      <c r="S13" s="18">
        <v>0.97089852506105578</v>
      </c>
      <c r="T13" s="5">
        <v>1</v>
      </c>
      <c r="U13" s="5"/>
      <c r="V13" s="5"/>
      <c r="W13" s="5"/>
      <c r="X13" s="5"/>
      <c r="Y13" s="5"/>
      <c r="AB13" s="5" t="s">
        <v>69</v>
      </c>
      <c r="AC13" s="5">
        <v>34496.868750000001</v>
      </c>
      <c r="AD13" s="5">
        <f>VARP(Sheet1!$B$21:$B$36)</f>
        <v>109.17902343749999</v>
      </c>
      <c r="AE13" s="5"/>
      <c r="AF13" s="5"/>
      <c r="AG13" s="5"/>
      <c r="AH13" s="5"/>
      <c r="AI13" s="5"/>
    </row>
    <row r="14" spans="1:35">
      <c r="A14" s="3">
        <v>68655</v>
      </c>
      <c r="B14" s="3">
        <v>112.6</v>
      </c>
      <c r="C14" s="4">
        <v>482704</v>
      </c>
      <c r="D14" s="4">
        <v>3813</v>
      </c>
      <c r="E14" s="4">
        <v>2552</v>
      </c>
      <c r="F14" s="4">
        <v>123366</v>
      </c>
      <c r="G14" s="4">
        <v>1959</v>
      </c>
      <c r="R14" s="5" t="s">
        <v>70</v>
      </c>
      <c r="S14" s="18">
        <v>0.98355161117966938</v>
      </c>
      <c r="T14" s="5">
        <v>0.9915891780247823</v>
      </c>
      <c r="U14" s="5">
        <v>1</v>
      </c>
      <c r="V14" s="5"/>
      <c r="W14" s="5"/>
      <c r="X14" s="5"/>
      <c r="Y14" s="5"/>
      <c r="AB14" s="5" t="s">
        <v>70</v>
      </c>
      <c r="AC14" s="5">
        <v>321872068.4375</v>
      </c>
      <c r="AD14" s="5">
        <v>997128.85820312519</v>
      </c>
      <c r="AE14" s="5">
        <f>VARP(Sheet1!$C$21:$C$36)</f>
        <v>9261894055.6210937</v>
      </c>
      <c r="AF14" s="5"/>
      <c r="AG14" s="5"/>
      <c r="AH14" s="5"/>
      <c r="AI14" s="5"/>
    </row>
    <row r="15" spans="1:35">
      <c r="A15" s="3">
        <v>69564</v>
      </c>
      <c r="B15" s="3">
        <v>114.2</v>
      </c>
      <c r="C15" s="4">
        <v>502601</v>
      </c>
      <c r="D15" s="4">
        <v>3931</v>
      </c>
      <c r="E15" s="4">
        <v>2514</v>
      </c>
      <c r="F15" s="4">
        <v>125368</v>
      </c>
      <c r="G15" s="4">
        <v>1960</v>
      </c>
      <c r="R15" s="5" t="s">
        <v>71</v>
      </c>
      <c r="S15" s="18">
        <v>0.50249808387599404</v>
      </c>
      <c r="T15" s="5">
        <v>0.62063339255909644</v>
      </c>
      <c r="U15" s="5">
        <v>0.60426093988955787</v>
      </c>
      <c r="V15" s="5">
        <v>1</v>
      </c>
      <c r="W15" s="5"/>
      <c r="X15" s="5"/>
      <c r="Y15" s="5"/>
      <c r="AB15" s="5" t="s">
        <v>71</v>
      </c>
      <c r="AC15" s="5">
        <v>1546033.75</v>
      </c>
      <c r="AD15" s="5">
        <v>5867.4996093749996</v>
      </c>
      <c r="AE15" s="5">
        <v>52616596.73828125</v>
      </c>
      <c r="AF15" s="5">
        <f>VARP(Sheet1!$D$21:$D$36)</f>
        <v>818646.96484375</v>
      </c>
      <c r="AG15" s="5"/>
      <c r="AH15" s="5"/>
      <c r="AI15" s="5"/>
    </row>
    <row r="16" spans="1:35">
      <c r="A16" s="3">
        <v>69331</v>
      </c>
      <c r="B16" s="3">
        <v>115.7</v>
      </c>
      <c r="C16" s="4">
        <v>518173</v>
      </c>
      <c r="D16" s="4">
        <v>4806</v>
      </c>
      <c r="E16" s="4">
        <v>2572</v>
      </c>
      <c r="F16" s="4">
        <v>127852</v>
      </c>
      <c r="G16" s="4">
        <v>1961</v>
      </c>
      <c r="R16" s="5" t="s">
        <v>72</v>
      </c>
      <c r="S16" s="18">
        <v>0.45730739997648173</v>
      </c>
      <c r="T16" s="5">
        <v>0.46474418760067454</v>
      </c>
      <c r="U16" s="5">
        <v>0.44643679189262642</v>
      </c>
      <c r="V16" s="5">
        <v>-0.17742062950187831</v>
      </c>
      <c r="W16" s="5">
        <v>1</v>
      </c>
      <c r="X16" s="5"/>
      <c r="Y16" s="5"/>
      <c r="AB16" s="5" t="s">
        <v>72</v>
      </c>
      <c r="AC16" s="5">
        <v>1047826</v>
      </c>
      <c r="AD16" s="5">
        <v>3272.1128906249992</v>
      </c>
      <c r="AE16" s="5">
        <v>28950401.57421875</v>
      </c>
      <c r="AF16" s="5">
        <v>-108167.58984375</v>
      </c>
      <c r="AG16" s="5">
        <f>VARP(Sheet1!$E$21:$E$36)</f>
        <v>454035.08984375</v>
      </c>
      <c r="AH16" s="5"/>
      <c r="AI16" s="5"/>
    </row>
    <row r="17" spans="1:35">
      <c r="A17" s="3">
        <v>70551</v>
      </c>
      <c r="B17" s="3">
        <v>116.9</v>
      </c>
      <c r="C17" s="4">
        <v>554894</v>
      </c>
      <c r="D17" s="4">
        <v>4007</v>
      </c>
      <c r="E17" s="4">
        <v>2827</v>
      </c>
      <c r="F17" s="4">
        <v>130081</v>
      </c>
      <c r="G17" s="4">
        <v>1962</v>
      </c>
      <c r="R17" s="5" t="s">
        <v>73</v>
      </c>
      <c r="S17" s="18">
        <v>0.96039057159437546</v>
      </c>
      <c r="T17" s="5">
        <v>0.97916343297749808</v>
      </c>
      <c r="U17" s="5">
        <v>0.99109006945847766</v>
      </c>
      <c r="V17" s="5">
        <v>0.68655151636531198</v>
      </c>
      <c r="W17" s="5">
        <v>0.36441626718903197</v>
      </c>
      <c r="X17" s="5">
        <v>1</v>
      </c>
      <c r="Y17" s="5"/>
      <c r="AB17" s="5" t="s">
        <v>73</v>
      </c>
      <c r="AC17" s="5">
        <v>21995592.875</v>
      </c>
      <c r="AD17" s="5">
        <v>68909.0625</v>
      </c>
      <c r="AE17" s="5">
        <v>642413385.5625</v>
      </c>
      <c r="AF17" s="5">
        <v>4183820.1875</v>
      </c>
      <c r="AG17" s="5">
        <v>1653842</v>
      </c>
      <c r="AH17" s="5">
        <f>VARP(Sheet1!$F$21:$F$36)</f>
        <v>45363139.625</v>
      </c>
      <c r="AI17" s="5"/>
    </row>
    <row r="18" spans="1:35">
      <c r="R18" s="5" t="s">
        <v>74</v>
      </c>
      <c r="S18" s="18">
        <v>0.97132945919211866</v>
      </c>
      <c r="T18" s="5">
        <v>0.99114919006720503</v>
      </c>
      <c r="U18" s="5">
        <v>0.99527348376478475</v>
      </c>
      <c r="V18" s="5">
        <v>0.66825660456217462</v>
      </c>
      <c r="W18" s="5">
        <v>0.41724514983494537</v>
      </c>
      <c r="X18" s="5">
        <v>0.99395284623292546</v>
      </c>
      <c r="Y18" s="5">
        <v>1</v>
      </c>
      <c r="AB18" s="5" t="s">
        <v>74</v>
      </c>
      <c r="AC18" s="5">
        <v>15225.875</v>
      </c>
      <c r="AD18" s="5">
        <v>47.740625000000001</v>
      </c>
      <c r="AE18" s="5">
        <v>441541.78125</v>
      </c>
      <c r="AF18" s="5">
        <v>2787.21875</v>
      </c>
      <c r="AG18" s="5">
        <v>1296.03125</v>
      </c>
      <c r="AH18" s="5">
        <v>30860.0625</v>
      </c>
      <c r="AI18" s="5">
        <f>VARP(Sheet1!$G$21:$G$36)</f>
        <v>21.25</v>
      </c>
    </row>
    <row r="20" spans="1:35">
      <c r="I20" t="s">
        <v>38</v>
      </c>
      <c r="J20" t="s">
        <v>39</v>
      </c>
      <c r="K20" t="s">
        <v>40</v>
      </c>
      <c r="L20" t="s">
        <v>41</v>
      </c>
      <c r="M20" t="s">
        <v>42</v>
      </c>
      <c r="N20" t="s">
        <v>42</v>
      </c>
    </row>
    <row r="21" spans="1:35">
      <c r="A21" s="1">
        <v>-4994</v>
      </c>
      <c r="B21" s="1">
        <v>-18.681249999999999</v>
      </c>
      <c r="C21" s="1">
        <v>-153409.4375</v>
      </c>
      <c r="D21" s="1">
        <v>-837.3125</v>
      </c>
      <c r="E21" s="1">
        <v>-1016.6875</v>
      </c>
      <c r="F21" s="1">
        <v>-9816</v>
      </c>
      <c r="G21" s="2">
        <v>-7.5</v>
      </c>
      <c r="H21" t="s">
        <v>43</v>
      </c>
      <c r="I21" s="9">
        <f>COVAR(A21:A36,B21:B36)</f>
        <v>34496.868750000001</v>
      </c>
      <c r="J21" s="9">
        <f>COVAR(B21:B36,C21:C36)</f>
        <v>997128.85820312519</v>
      </c>
      <c r="K21" s="9">
        <f>COVAR(C21:C36,D21:D36)</f>
        <v>52616596.73828125</v>
      </c>
      <c r="L21" s="9">
        <f>COVAR(D21:D36,E21:E36)</f>
        <v>-108167.58984375</v>
      </c>
      <c r="M21" s="9">
        <f>COVAR(F21:F36,G21:G36)</f>
        <v>30860.0625</v>
      </c>
      <c r="N21" s="9">
        <f>COVAR(C21:C36,F21:F36)</f>
        <v>642413385.5625</v>
      </c>
      <c r="S21">
        <f>LRE(S3,S13)</f>
        <v>16</v>
      </c>
      <c r="AC21">
        <f>LRE(AC3,AC13)</f>
        <v>16</v>
      </c>
    </row>
    <row r="22" spans="1:35">
      <c r="A22" s="1">
        <v>-4195</v>
      </c>
      <c r="B22" s="1">
        <v>-13.18125</v>
      </c>
      <c r="C22" s="1">
        <v>-128272.4375</v>
      </c>
      <c r="D22" s="1">
        <v>-868.3125</v>
      </c>
      <c r="E22" s="1">
        <v>-1150.6875</v>
      </c>
      <c r="F22" s="1">
        <v>-8792</v>
      </c>
      <c r="G22" s="2">
        <v>-6.5</v>
      </c>
      <c r="H22" t="s">
        <v>44</v>
      </c>
      <c r="I22" s="10">
        <f>CORREL(A21:A36,B21:B36)</f>
        <v>0.97089852506105578</v>
      </c>
      <c r="J22" s="10">
        <f>CORREL(B21:B36,C21:C36)</f>
        <v>0.9915891780247823</v>
      </c>
      <c r="K22" s="10">
        <f>CORREL(C21:C36,D21:D36)</f>
        <v>0.60426093988955787</v>
      </c>
      <c r="L22" s="10">
        <f>CORREL(D21:D36,E21:E36)</f>
        <v>-0.17742062950187831</v>
      </c>
      <c r="M22" s="10">
        <f>CORREL(F21:F36,G21:G36)</f>
        <v>0.99395284623292546</v>
      </c>
      <c r="N22" s="10">
        <f>CORREL(C21:C36,F21:F36)</f>
        <v>0.99109006945847766</v>
      </c>
      <c r="S22">
        <f t="shared" ref="S22:V26" si="0">LRE(S4,S14)</f>
        <v>16</v>
      </c>
      <c r="T22">
        <f>LRE(T4,T14)</f>
        <v>16</v>
      </c>
      <c r="AC22">
        <f t="shared" ref="AC22:AF26" si="1">LRE(AC4,AC14)</f>
        <v>16</v>
      </c>
      <c r="AD22">
        <f>LRE(AD4,AD14)</f>
        <v>16</v>
      </c>
    </row>
    <row r="23" spans="1:35">
      <c r="A23" s="1">
        <v>-5146</v>
      </c>
      <c r="B23" s="1">
        <v>-13.481249999999999</v>
      </c>
      <c r="C23" s="1">
        <v>-129644.4375</v>
      </c>
      <c r="D23" s="1">
        <v>488.6875</v>
      </c>
      <c r="E23" s="1">
        <v>-990.6875</v>
      </c>
      <c r="F23" s="1">
        <v>-7651</v>
      </c>
      <c r="G23" s="2">
        <v>-5.5</v>
      </c>
      <c r="H23" t="s">
        <v>45</v>
      </c>
      <c r="I23" s="10">
        <f>PEARSON(A21:A36,B21:B36)</f>
        <v>0.97089852506105578</v>
      </c>
      <c r="J23" s="10">
        <f>PEARSON(B21:B36,C21:C36)</f>
        <v>0.9915891780247823</v>
      </c>
      <c r="K23" s="10">
        <f>PEARSON(C21:C36,D21:D36)</f>
        <v>0.60426093988955787</v>
      </c>
      <c r="L23" s="10">
        <f>PEARSON(D21:D36,E21:E36)</f>
        <v>-0.17742062950187831</v>
      </c>
      <c r="M23" s="10">
        <f>PEARSON(F21:F36,G21:G36)</f>
        <v>0.99395284623292546</v>
      </c>
      <c r="N23" s="10">
        <f>PEARSON(C21:C36,F21:F36)</f>
        <v>0.99109006945847766</v>
      </c>
      <c r="S23">
        <f t="shared" si="0"/>
        <v>16</v>
      </c>
      <c r="T23">
        <f t="shared" si="0"/>
        <v>16</v>
      </c>
      <c r="U23">
        <f>LRE(U5,U15)</f>
        <v>16</v>
      </c>
      <c r="AC23">
        <f t="shared" si="1"/>
        <v>16</v>
      </c>
      <c r="AD23">
        <f t="shared" si="1"/>
        <v>16</v>
      </c>
      <c r="AE23">
        <f>LRE(AE5,AE15)</f>
        <v>16</v>
      </c>
    </row>
    <row r="24" spans="1:35">
      <c r="A24" s="1">
        <v>-4130</v>
      </c>
      <c r="B24" s="1">
        <v>-12.18125</v>
      </c>
      <c r="C24" s="1">
        <v>-103099.4375</v>
      </c>
      <c r="D24" s="1">
        <v>157.6875</v>
      </c>
      <c r="E24" s="1">
        <v>-956.6875</v>
      </c>
      <c r="F24" s="1">
        <v>-6495</v>
      </c>
      <c r="G24" s="2">
        <v>-4.5</v>
      </c>
      <c r="H24" t="s">
        <v>46</v>
      </c>
      <c r="I24" s="10">
        <f>RSQ(A21:A36,B21:B36)</f>
        <v>0.94264394596573353</v>
      </c>
      <c r="J24" s="10">
        <f>RSQ(B21:B36,C21:C36)</f>
        <v>0.98324909797586346</v>
      </c>
      <c r="K24" s="10">
        <f>RSQ(C21:C36,D21:D36)</f>
        <v>0.36513128347621188</v>
      </c>
      <c r="L24" s="10">
        <f>RSQ(D21:D36,E21:E36)</f>
        <v>3.1478079772842775E-2</v>
      </c>
      <c r="M24" s="10">
        <f>RSQ(F21:F36,G21:G36)</f>
        <v>0.9879422605345336</v>
      </c>
      <c r="N24" s="10">
        <f>RSQ(C21:C36,F21:F36)</f>
        <v>0.98225952577921005</v>
      </c>
      <c r="S24">
        <f t="shared" si="0"/>
        <v>16</v>
      </c>
      <c r="T24">
        <f t="shared" si="0"/>
        <v>16</v>
      </c>
      <c r="U24">
        <f t="shared" si="0"/>
        <v>16</v>
      </c>
      <c r="V24">
        <f>LRE(V6,V16)</f>
        <v>16</v>
      </c>
      <c r="AC24">
        <f t="shared" si="1"/>
        <v>16</v>
      </c>
      <c r="AD24">
        <f t="shared" si="1"/>
        <v>16</v>
      </c>
      <c r="AE24">
        <f t="shared" si="1"/>
        <v>16</v>
      </c>
      <c r="AF24">
        <f>LRE(AF6,AF16)</f>
        <v>16</v>
      </c>
    </row>
    <row r="25" spans="1:35">
      <c r="A25" s="1">
        <v>-2096</v>
      </c>
      <c r="B25" s="1">
        <v>-5.4812500000000002</v>
      </c>
      <c r="C25" s="1">
        <v>-58723.4375</v>
      </c>
      <c r="D25" s="1">
        <v>-1094.3125</v>
      </c>
      <c r="E25" s="1">
        <v>492.3125</v>
      </c>
      <c r="F25" s="1">
        <v>-5349</v>
      </c>
      <c r="G25" s="2">
        <v>-3.5</v>
      </c>
      <c r="S25">
        <f t="shared" si="0"/>
        <v>16</v>
      </c>
      <c r="T25">
        <f t="shared" si="0"/>
        <v>15.644414960831108</v>
      </c>
      <c r="U25">
        <f t="shared" si="0"/>
        <v>16</v>
      </c>
      <c r="V25">
        <f t="shared" si="0"/>
        <v>16</v>
      </c>
      <c r="W25">
        <f>LRE(W7,W17)</f>
        <v>16</v>
      </c>
      <c r="AC25">
        <f t="shared" si="1"/>
        <v>16</v>
      </c>
      <c r="AD25">
        <f t="shared" si="1"/>
        <v>15.675356185330877</v>
      </c>
      <c r="AE25">
        <f t="shared" si="1"/>
        <v>16</v>
      </c>
      <c r="AF25">
        <f t="shared" si="1"/>
        <v>16</v>
      </c>
      <c r="AG25">
        <f>LRE(AG7,AG17)</f>
        <v>16</v>
      </c>
    </row>
    <row r="26" spans="1:35">
      <c r="A26" s="1">
        <v>-1678</v>
      </c>
      <c r="B26" s="1">
        <v>-3.5812500000000114</v>
      </c>
      <c r="C26" s="1">
        <v>-40699.4375</v>
      </c>
      <c r="D26" s="1">
        <v>-1261.3125</v>
      </c>
      <c r="E26" s="1">
        <v>987.3125</v>
      </c>
      <c r="F26" s="1">
        <v>-4154</v>
      </c>
      <c r="G26" s="2">
        <v>-2.5</v>
      </c>
      <c r="S26">
        <f t="shared" si="0"/>
        <v>16</v>
      </c>
      <c r="T26">
        <f t="shared" si="0"/>
        <v>15.473607545886299</v>
      </c>
      <c r="U26">
        <f t="shared" si="0"/>
        <v>16</v>
      </c>
      <c r="V26">
        <f t="shared" si="0"/>
        <v>16</v>
      </c>
      <c r="W26">
        <f>LRE(W8,W18)</f>
        <v>16</v>
      </c>
      <c r="X26">
        <f>LRE(X8,X18)</f>
        <v>16</v>
      </c>
      <c r="AC26">
        <f t="shared" si="1"/>
        <v>16</v>
      </c>
      <c r="AD26">
        <f t="shared" si="1"/>
        <v>16</v>
      </c>
      <c r="AE26">
        <f t="shared" si="1"/>
        <v>16</v>
      </c>
      <c r="AF26">
        <f t="shared" si="1"/>
        <v>16</v>
      </c>
      <c r="AG26">
        <f>LRE(AG8,AG18)</f>
        <v>16</v>
      </c>
      <c r="AH26">
        <f>LRE(AH8,AH18)</f>
        <v>16</v>
      </c>
    </row>
    <row r="27" spans="1:35">
      <c r="A27" s="1">
        <v>-328</v>
      </c>
      <c r="B27" s="1">
        <v>-2.6812500000000057</v>
      </c>
      <c r="C27" s="1">
        <v>-22313.4375</v>
      </c>
      <c r="D27" s="1">
        <v>-1323.3125</v>
      </c>
      <c r="E27" s="1">
        <v>940.3125</v>
      </c>
      <c r="F27" s="1">
        <v>-2330</v>
      </c>
      <c r="G27" s="2">
        <v>-1.5</v>
      </c>
    </row>
    <row r="28" spans="1:35">
      <c r="A28" s="1">
        <v>-1556</v>
      </c>
      <c r="B28" s="1">
        <v>-1.6812500000000057</v>
      </c>
      <c r="C28" s="1">
        <v>-24586.4375</v>
      </c>
      <c r="D28" s="1">
        <v>384.6875</v>
      </c>
      <c r="E28" s="1">
        <v>743.3125</v>
      </c>
      <c r="F28" s="1">
        <v>-1205</v>
      </c>
      <c r="G28" s="2">
        <v>-0.5</v>
      </c>
    </row>
    <row r="29" spans="1:35">
      <c r="A29" s="1">
        <v>702</v>
      </c>
      <c r="B29" s="1">
        <v>-0.48125000000000284</v>
      </c>
      <c r="C29" s="1">
        <v>9770.5625</v>
      </c>
      <c r="D29" s="1">
        <v>-289.3125</v>
      </c>
      <c r="E29" s="1">
        <v>441.3125</v>
      </c>
      <c r="F29" s="1">
        <v>-36</v>
      </c>
      <c r="G29" s="2">
        <v>0.5</v>
      </c>
      <c r="AC29" t="s">
        <v>68</v>
      </c>
      <c r="AD29" t="s">
        <v>69</v>
      </c>
      <c r="AE29" t="s">
        <v>70</v>
      </c>
      <c r="AF29" t="s">
        <v>71</v>
      </c>
      <c r="AG29" t="s">
        <v>72</v>
      </c>
      <c r="AH29" t="s">
        <v>73</v>
      </c>
      <c r="AI29" t="s">
        <v>74</v>
      </c>
    </row>
    <row r="30" spans="1:35">
      <c r="A30" s="1">
        <v>2540</v>
      </c>
      <c r="B30" s="1">
        <v>2.9187499999999886</v>
      </c>
      <c r="C30" s="1">
        <v>31481.5625</v>
      </c>
      <c r="D30" s="1">
        <v>-371.3125</v>
      </c>
      <c r="E30" s="1">
        <v>250.3125</v>
      </c>
      <c r="F30" s="1">
        <v>1310</v>
      </c>
      <c r="G30" s="2">
        <v>1.5</v>
      </c>
      <c r="AB30" t="s">
        <v>68</v>
      </c>
      <c r="AC30">
        <f>COVAR(A2:A17,A2:A17)</f>
        <v>11563051.625</v>
      </c>
    </row>
    <row r="31" spans="1:35">
      <c r="A31" s="1">
        <v>2852</v>
      </c>
      <c r="B31" s="1">
        <v>6.71875</v>
      </c>
      <c r="C31" s="1">
        <v>55070.5625</v>
      </c>
      <c r="D31" s="1">
        <v>-257.3125</v>
      </c>
      <c r="E31" s="1">
        <v>191.3125</v>
      </c>
      <c r="F31" s="1">
        <v>3021</v>
      </c>
      <c r="G31" s="2">
        <v>2.5</v>
      </c>
      <c r="AB31" t="s">
        <v>69</v>
      </c>
      <c r="AC31" s="9">
        <f>COVAR($A$2:$A$17,B2:B17)</f>
        <v>34496.868750000001</v>
      </c>
      <c r="AD31" s="10">
        <f>COVAR($B$2:$B$17,B2:B17)</f>
        <v>109.17902343749999</v>
      </c>
    </row>
    <row r="32" spans="1:35">
      <c r="A32" s="1">
        <v>1196</v>
      </c>
      <c r="B32" s="1">
        <v>9.1187499999999915</v>
      </c>
      <c r="C32" s="1">
        <v>56847.5625</v>
      </c>
      <c r="D32" s="1">
        <v>1487.6875</v>
      </c>
      <c r="E32" s="1">
        <v>30.3125</v>
      </c>
      <c r="F32" s="1">
        <v>4526</v>
      </c>
      <c r="G32" s="2">
        <v>3.5</v>
      </c>
      <c r="AB32" t="s">
        <v>70</v>
      </c>
      <c r="AC32" s="9">
        <f>COVAR(A2:A17,C2:C17)</f>
        <v>321872068.4375</v>
      </c>
      <c r="AD32" s="9">
        <f>COVAR($B$2:$B$17,C2:C17)</f>
        <v>997128.85820312519</v>
      </c>
      <c r="AE32" s="9">
        <f>COVAR($C$2:$C$17,C2:C17)</f>
        <v>9261894055.6210937</v>
      </c>
    </row>
    <row r="33" spans="1:35">
      <c r="A33" s="1">
        <v>3338</v>
      </c>
      <c r="B33" s="1">
        <v>10.918749999999999</v>
      </c>
      <c r="C33" s="1">
        <v>95005.5625</v>
      </c>
      <c r="D33" s="1">
        <v>619.6875</v>
      </c>
      <c r="E33" s="1">
        <v>-54.6875</v>
      </c>
      <c r="F33" s="1">
        <v>5942</v>
      </c>
      <c r="G33" s="2">
        <v>4.5</v>
      </c>
      <c r="AB33" t="s">
        <v>71</v>
      </c>
      <c r="AC33" s="9">
        <f>COVAR(A2:A17,D2:D17)</f>
        <v>1546033.75</v>
      </c>
      <c r="AD33" s="9">
        <f>COVAR($B$2:$B$17,D2:D17)</f>
        <v>5867.4996093749996</v>
      </c>
      <c r="AE33" s="9">
        <f>COVAR($C$2:$C$17,$D$2:$D$17)</f>
        <v>52616596.73828125</v>
      </c>
      <c r="AF33" s="9">
        <f>COVAR($D$2:$D$17,$D$2:$D$17)</f>
        <v>818646.96484375</v>
      </c>
    </row>
    <row r="34" spans="1:35">
      <c r="A34" s="1">
        <v>4247</v>
      </c>
      <c r="B34" s="1">
        <v>12.518750000000001</v>
      </c>
      <c r="C34" s="1">
        <v>114902.5625</v>
      </c>
      <c r="D34" s="1">
        <v>737.6875</v>
      </c>
      <c r="E34" s="1">
        <v>-92.6875</v>
      </c>
      <c r="F34" s="1">
        <v>7944</v>
      </c>
      <c r="G34" s="2">
        <v>5.5</v>
      </c>
      <c r="AB34" t="s">
        <v>72</v>
      </c>
      <c r="AC34" s="9">
        <f>COVAR(A2:A17,E2:E17)</f>
        <v>1047826</v>
      </c>
      <c r="AD34" s="9">
        <f>COVAR($B$2:$B$17,E2:E17)</f>
        <v>3272.1128906249992</v>
      </c>
      <c r="AE34" s="9">
        <f>COVAR($C$2:$C$17,$E$2:$E$17)</f>
        <v>28950401.57421875</v>
      </c>
      <c r="AF34" s="9">
        <f>COVAR($D$2:$D$17,$E$2:$E$17)</f>
        <v>-108167.58984375</v>
      </c>
      <c r="AG34" s="9">
        <f>COVAR($E$2:$E$17,$E$2:$E$17)</f>
        <v>454035.08984375</v>
      </c>
    </row>
    <row r="35" spans="1:35">
      <c r="A35" s="1">
        <v>4014</v>
      </c>
      <c r="B35" s="1">
        <v>14.018750000000001</v>
      </c>
      <c r="C35" s="1">
        <v>130474.5625</v>
      </c>
      <c r="D35" s="1">
        <v>1612.6875</v>
      </c>
      <c r="E35" s="1">
        <v>-34.6875</v>
      </c>
      <c r="F35" s="1">
        <v>10428</v>
      </c>
      <c r="G35" s="2">
        <v>6.5</v>
      </c>
      <c r="AB35" t="s">
        <v>73</v>
      </c>
      <c r="AC35" s="9">
        <f>COVAR(A2:A17,F2:F17)</f>
        <v>21995592.875</v>
      </c>
      <c r="AD35" s="9">
        <f>COVAR($B$2:$B$17,F2:F17)</f>
        <v>68909.062499999985</v>
      </c>
      <c r="AE35" s="9">
        <f>COVAR($C$2:$C$17,$F$2:$F$17)</f>
        <v>642413385.5625</v>
      </c>
      <c r="AF35" s="9">
        <f>COVAR($D$2:$D$17,$F$2:$F$17)</f>
        <v>4183820.1875</v>
      </c>
      <c r="AG35" s="9">
        <f>COVAR($E$2:$E$17,$F$2:$F$17)</f>
        <v>1653842</v>
      </c>
      <c r="AH35" s="9">
        <f>COVAR($F$2:$F$17,$F$2:$F$17)</f>
        <v>45363139.625</v>
      </c>
    </row>
    <row r="36" spans="1:35">
      <c r="A36" s="1">
        <v>5234</v>
      </c>
      <c r="B36" s="1">
        <v>15.21875</v>
      </c>
      <c r="C36" s="1">
        <v>167195.5625</v>
      </c>
      <c r="D36" s="1">
        <v>813.6875</v>
      </c>
      <c r="E36" s="1">
        <v>220.3125</v>
      </c>
      <c r="F36" s="1">
        <v>12657</v>
      </c>
      <c r="G36" s="2">
        <v>7.5</v>
      </c>
      <c r="AB36" t="s">
        <v>74</v>
      </c>
      <c r="AC36" s="9">
        <f>COVAR(A2:A17,G2:G17)</f>
        <v>15225.875</v>
      </c>
      <c r="AD36" s="9">
        <f>COVAR($B$2:$B$17,G2:G17)</f>
        <v>47.740625000000009</v>
      </c>
      <c r="AE36" s="9">
        <f>COVAR($C$2:$C$17,$G$2:$G$17)</f>
        <v>441541.78125</v>
      </c>
      <c r="AF36" s="9">
        <f>COVAR($D$2:$D$17,$G$2:$G$17)</f>
        <v>2787.21875</v>
      </c>
      <c r="AG36" s="9">
        <f>COVAR($E$2:$E$17,$G$2:$G$17)</f>
        <v>1296.03125</v>
      </c>
      <c r="AH36" s="9">
        <f>COVAR($F$2:$F$17,$G$2:$G$17)</f>
        <v>30860.0625</v>
      </c>
      <c r="AI36" s="9">
        <f>COVAR($G$2:$G$17,$G$2:$G$17)</f>
        <v>21.25</v>
      </c>
    </row>
    <row r="38" spans="1:35">
      <c r="I38" t="s">
        <v>38</v>
      </c>
      <c r="J38" t="s">
        <v>39</v>
      </c>
      <c r="K38" t="s">
        <v>40</v>
      </c>
      <c r="L38" t="s">
        <v>41</v>
      </c>
      <c r="M38" t="s">
        <v>42</v>
      </c>
      <c r="N38" t="s">
        <v>47</v>
      </c>
      <c r="R38" s="5"/>
      <c r="S38" s="5" t="s">
        <v>68</v>
      </c>
      <c r="T38" s="5" t="s">
        <v>69</v>
      </c>
      <c r="U38" s="5" t="s">
        <v>70</v>
      </c>
      <c r="V38" s="5" t="s">
        <v>71</v>
      </c>
      <c r="W38" s="5" t="s">
        <v>72</v>
      </c>
      <c r="X38" s="5" t="s">
        <v>73</v>
      </c>
      <c r="Y38" s="5" t="s">
        <v>74</v>
      </c>
    </row>
    <row r="39" spans="1:35">
      <c r="A39" s="1">
        <f t="shared" ref="A39:A52" si="2">A2+100000000</f>
        <v>100060323</v>
      </c>
      <c r="B39" s="1">
        <f t="shared" ref="B39:G39" si="3">B2+100000000</f>
        <v>100000083</v>
      </c>
      <c r="C39" s="1">
        <f t="shared" si="3"/>
        <v>100234289</v>
      </c>
      <c r="D39" s="1">
        <f t="shared" si="3"/>
        <v>100002356</v>
      </c>
      <c r="E39" s="1">
        <f t="shared" si="3"/>
        <v>100001590</v>
      </c>
      <c r="F39" s="1">
        <f t="shared" si="3"/>
        <v>100107608</v>
      </c>
      <c r="G39" s="1">
        <f t="shared" si="3"/>
        <v>100001947</v>
      </c>
      <c r="H39" t="s">
        <v>43</v>
      </c>
      <c r="I39" s="9">
        <f>COVAR(A39:A54,B39:B54)</f>
        <v>34496.868751545437</v>
      </c>
      <c r="J39" s="9">
        <f>COVAR(B39:B54,C39:C54)</f>
        <v>997128.85825581732</v>
      </c>
      <c r="K39" s="9">
        <f>COVAR(C39:C54,D39:D54)</f>
        <v>52616596.73828125</v>
      </c>
      <c r="L39" s="9">
        <f>COVAR(D39:D54,E39:E54)</f>
        <v>-108167.58984375</v>
      </c>
      <c r="M39" s="9">
        <f>COVAR(F39:F54,G39:G54)</f>
        <v>30860.0625</v>
      </c>
      <c r="N39" s="9">
        <f>COVAR(C39:C54,F39:F54)</f>
        <v>642413385.5625</v>
      </c>
      <c r="R39" s="5" t="s">
        <v>68</v>
      </c>
      <c r="S39" s="5">
        <v>1</v>
      </c>
      <c r="T39" s="5"/>
      <c r="U39" s="5"/>
      <c r="V39" s="5"/>
      <c r="W39" s="5"/>
      <c r="X39" s="5"/>
      <c r="Y39" s="5"/>
      <c r="AC39" t="e">
        <f ca="1">[1]!LRE(AC2,AC30)</f>
        <v>#NAME?</v>
      </c>
    </row>
    <row r="40" spans="1:35">
      <c r="A40" s="1">
        <f t="shared" si="2"/>
        <v>100061122</v>
      </c>
      <c r="B40" s="1">
        <f t="shared" ref="B40:G52" si="4">B3+100000000</f>
        <v>100000088.5</v>
      </c>
      <c r="C40" s="1">
        <f t="shared" si="4"/>
        <v>100259426</v>
      </c>
      <c r="D40" s="1">
        <f t="shared" si="4"/>
        <v>100002325</v>
      </c>
      <c r="E40" s="1">
        <f t="shared" si="4"/>
        <v>100001456</v>
      </c>
      <c r="F40" s="1">
        <f t="shared" si="4"/>
        <v>100108632</v>
      </c>
      <c r="G40" s="1">
        <f t="shared" si="4"/>
        <v>100001948</v>
      </c>
      <c r="H40" t="s">
        <v>44</v>
      </c>
      <c r="I40" s="10">
        <f>CORREL(A39:A54,B39:B54)</f>
        <v>0.97089852506920793</v>
      </c>
      <c r="J40" s="10">
        <f>CORREL(B39:B54,C39:C54)</f>
        <v>0.99158917804108493</v>
      </c>
      <c r="K40" s="10">
        <f>CORREL(C39:C54,D39:D54)</f>
        <v>0.60426093988955787</v>
      </c>
      <c r="L40" s="10">
        <f>CORREL(D39:D54,E39:E54)</f>
        <v>-0.17742062950187831</v>
      </c>
      <c r="M40" s="10">
        <f>CORREL(F39:F54,G39:G54)</f>
        <v>0.99395284623292546</v>
      </c>
      <c r="N40" s="10">
        <f>CORREL(C39:C54,F39:F54)</f>
        <v>0.99109006945847766</v>
      </c>
      <c r="R40" s="5" t="s">
        <v>69</v>
      </c>
      <c r="S40" s="5">
        <v>0.97089852506920793</v>
      </c>
      <c r="T40" s="5">
        <v>1</v>
      </c>
      <c r="U40" s="5"/>
      <c r="V40" s="5"/>
      <c r="W40" s="5"/>
      <c r="X40" s="5"/>
      <c r="Y40" s="5"/>
      <c r="AC40" t="e">
        <f ca="1">[1]!LRE(AC3,AC31)</f>
        <v>#NAME?</v>
      </c>
      <c r="AD40" t="e">
        <f ca="1">[1]!LRE(AD3,AD31)</f>
        <v>#NAME?</v>
      </c>
    </row>
    <row r="41" spans="1:35">
      <c r="A41" s="1">
        <f t="shared" si="2"/>
        <v>100060171</v>
      </c>
      <c r="B41" s="1">
        <f t="shared" si="4"/>
        <v>100000088.2</v>
      </c>
      <c r="C41" s="1">
        <f t="shared" si="4"/>
        <v>100258054</v>
      </c>
      <c r="D41" s="1">
        <f t="shared" si="4"/>
        <v>100003682</v>
      </c>
      <c r="E41" s="1">
        <f t="shared" si="4"/>
        <v>100001616</v>
      </c>
      <c r="F41" s="1">
        <f t="shared" si="4"/>
        <v>100109773</v>
      </c>
      <c r="G41" s="1">
        <f t="shared" si="4"/>
        <v>100001949</v>
      </c>
      <c r="H41" t="s">
        <v>45</v>
      </c>
      <c r="I41" s="10">
        <f>PEARSON(A39:A54,B39:B54)</f>
        <v>0.97089852506920793</v>
      </c>
      <c r="J41" s="10">
        <f>PEARSON(B39:B54,C39:C54)</f>
        <v>0.99158917804108493</v>
      </c>
      <c r="K41" s="10">
        <f>PEARSON(C39:C54,D39:D54)</f>
        <v>0.60426093988955787</v>
      </c>
      <c r="L41" s="10">
        <f>PEARSON(D39:D54,E39:E54)</f>
        <v>-0.17742062950187831</v>
      </c>
      <c r="M41" s="10">
        <f>PEARSON(F39:F54,G39:G54)</f>
        <v>0.99395284623292546</v>
      </c>
      <c r="N41" s="10">
        <f>PEARSON(C39:C54,F39:F54)</f>
        <v>0.99109006945847766</v>
      </c>
      <c r="R41" s="5" t="s">
        <v>70</v>
      </c>
      <c r="S41" s="5">
        <v>0.98355161117966938</v>
      </c>
      <c r="T41" s="5">
        <v>0.99158917804108493</v>
      </c>
      <c r="U41" s="5">
        <v>1</v>
      </c>
      <c r="V41" s="5"/>
      <c r="W41" s="5"/>
      <c r="X41" s="5"/>
      <c r="Y41" s="5"/>
      <c r="AC41" t="e">
        <f ca="1">[1]!LRE(AC4,AC32)</f>
        <v>#NAME?</v>
      </c>
      <c r="AD41" t="e">
        <f ca="1">[1]!LRE(AD4,AD32)</f>
        <v>#NAME?</v>
      </c>
      <c r="AE41" t="e">
        <f ca="1">[1]!LRE(AE4,AE32)</f>
        <v>#NAME?</v>
      </c>
    </row>
    <row r="42" spans="1:35">
      <c r="A42" s="1">
        <f t="shared" si="2"/>
        <v>100061187</v>
      </c>
      <c r="B42" s="1">
        <f t="shared" si="4"/>
        <v>100000089.5</v>
      </c>
      <c r="C42" s="1">
        <f t="shared" si="4"/>
        <v>100284599</v>
      </c>
      <c r="D42" s="1">
        <f t="shared" si="4"/>
        <v>100003351</v>
      </c>
      <c r="E42" s="1">
        <f t="shared" si="4"/>
        <v>100001650</v>
      </c>
      <c r="F42" s="1">
        <f t="shared" si="4"/>
        <v>100110929</v>
      </c>
      <c r="G42" s="1">
        <f t="shared" si="4"/>
        <v>100001950</v>
      </c>
      <c r="H42" t="s">
        <v>46</v>
      </c>
      <c r="I42" s="10">
        <f>RSQ(A39:A54,B39:B54)</f>
        <v>0.94264394598156342</v>
      </c>
      <c r="J42" s="10">
        <f>RSQ(B39:B54,C39:C54)</f>
        <v>0.98324909800819438</v>
      </c>
      <c r="K42" s="10">
        <f>RSQ(C39:C54,D39:D54)</f>
        <v>0.36513128347621188</v>
      </c>
      <c r="L42" s="10">
        <f>RSQ(D39:D54,E39:E54)</f>
        <v>3.1478079772842775E-2</v>
      </c>
      <c r="M42" s="10">
        <f>RSQ(F39:F54,G39:G54)</f>
        <v>0.9879422605345336</v>
      </c>
      <c r="N42" s="10">
        <f>RSQ(C39:C54,F39:F54)</f>
        <v>0.98225952577921005</v>
      </c>
      <c r="R42" s="5" t="s">
        <v>71</v>
      </c>
      <c r="S42" s="5">
        <v>0.50249808387599404</v>
      </c>
      <c r="T42" s="5">
        <v>0.62063339259770578</v>
      </c>
      <c r="U42" s="5">
        <v>0.60426093988955787</v>
      </c>
      <c r="V42" s="5">
        <v>1</v>
      </c>
      <c r="W42" s="5"/>
      <c r="X42" s="5"/>
      <c r="Y42" s="5"/>
      <c r="AC42" t="e">
        <f ca="1">[1]!LRE(AC5,AC33)</f>
        <v>#NAME?</v>
      </c>
      <c r="AD42" t="e">
        <f ca="1">[1]!LRE(AD5,AD33)</f>
        <v>#NAME?</v>
      </c>
      <c r="AE42" t="e">
        <f ca="1">[1]!LRE(AE5,AE33)</f>
        <v>#NAME?</v>
      </c>
      <c r="AF42" t="e">
        <f ca="1">[1]!LRE(AF5,AF33)</f>
        <v>#NAME?</v>
      </c>
    </row>
    <row r="43" spans="1:35">
      <c r="A43" s="1">
        <f t="shared" si="2"/>
        <v>100063221</v>
      </c>
      <c r="B43" s="1">
        <f t="shared" si="4"/>
        <v>100000096.2</v>
      </c>
      <c r="C43" s="1">
        <f t="shared" si="4"/>
        <v>100328975</v>
      </c>
      <c r="D43" s="1">
        <f t="shared" si="4"/>
        <v>100002099</v>
      </c>
      <c r="E43" s="1">
        <f t="shared" si="4"/>
        <v>100003099</v>
      </c>
      <c r="F43" s="1">
        <f t="shared" si="4"/>
        <v>100112075</v>
      </c>
      <c r="G43" s="1">
        <f t="shared" si="4"/>
        <v>100001951</v>
      </c>
      <c r="R43" s="5" t="s">
        <v>72</v>
      </c>
      <c r="S43" s="5">
        <v>0.45730739997648173</v>
      </c>
      <c r="T43" s="5">
        <v>0.46474418753726443</v>
      </c>
      <c r="U43" s="5">
        <v>0.44643679189262642</v>
      </c>
      <c r="V43" s="5">
        <v>-0.17742062950187831</v>
      </c>
      <c r="W43" s="5">
        <v>1</v>
      </c>
      <c r="X43" s="5"/>
      <c r="Y43" s="5"/>
      <c r="AC43" t="e">
        <f ca="1">[1]!LRE(AC6,AC34)</f>
        <v>#NAME?</v>
      </c>
      <c r="AD43" t="e">
        <f ca="1">[1]!LRE(AD6,AD34)</f>
        <v>#NAME?</v>
      </c>
      <c r="AE43" t="e">
        <f ca="1">[1]!LRE(AE6,AE34)</f>
        <v>#NAME?</v>
      </c>
      <c r="AF43" t="e">
        <f ca="1">[1]!LRE(AF6,AF34)</f>
        <v>#NAME?</v>
      </c>
      <c r="AG43" t="e">
        <f ca="1">[1]!LRE(AG6,AG34)</f>
        <v>#NAME?</v>
      </c>
    </row>
    <row r="44" spans="1:35">
      <c r="A44" s="1">
        <f t="shared" si="2"/>
        <v>100063639</v>
      </c>
      <c r="B44" s="1">
        <f t="shared" si="4"/>
        <v>100000098.09999999</v>
      </c>
      <c r="C44" s="1">
        <f t="shared" si="4"/>
        <v>100346999</v>
      </c>
      <c r="D44" s="1">
        <f t="shared" si="4"/>
        <v>100001932</v>
      </c>
      <c r="E44" s="1">
        <f t="shared" si="4"/>
        <v>100003594</v>
      </c>
      <c r="F44" s="1">
        <f t="shared" si="4"/>
        <v>100113270</v>
      </c>
      <c r="G44" s="1">
        <f t="shared" si="4"/>
        <v>100001952</v>
      </c>
      <c r="R44" s="5" t="s">
        <v>73</v>
      </c>
      <c r="S44" s="5">
        <v>0.96039057159437546</v>
      </c>
      <c r="T44" s="5">
        <v>0.97916343301058928</v>
      </c>
      <c r="U44" s="5">
        <v>0.99109006945847766</v>
      </c>
      <c r="V44" s="5">
        <v>0.68655151636531198</v>
      </c>
      <c r="W44" s="5">
        <v>0.36441626718903197</v>
      </c>
      <c r="X44" s="5">
        <v>1</v>
      </c>
      <c r="Y44" s="5"/>
      <c r="AC44" t="e">
        <f ca="1">[1]!LRE(AC7,AC35)</f>
        <v>#NAME?</v>
      </c>
      <c r="AD44" t="e">
        <f ca="1">[1]!LRE(AD7,AD35)</f>
        <v>#NAME?</v>
      </c>
      <c r="AE44" t="e">
        <f ca="1">[1]!LRE(AE7,AE35)</f>
        <v>#NAME?</v>
      </c>
      <c r="AF44" t="e">
        <f ca="1">[1]!LRE(AF7,AF35)</f>
        <v>#NAME?</v>
      </c>
      <c r="AG44" t="e">
        <f ca="1">[1]!LRE(AG7,AG35)</f>
        <v>#NAME?</v>
      </c>
      <c r="AH44" t="e">
        <f ca="1">[1]!LRE(AH7,AH35)</f>
        <v>#NAME?</v>
      </c>
    </row>
    <row r="45" spans="1:35">
      <c r="A45" s="1">
        <f t="shared" si="2"/>
        <v>100064989</v>
      </c>
      <c r="B45" s="1">
        <f t="shared" si="4"/>
        <v>100000099</v>
      </c>
      <c r="C45" s="1">
        <f t="shared" si="4"/>
        <v>100365385</v>
      </c>
      <c r="D45" s="1">
        <f t="shared" si="4"/>
        <v>100001870</v>
      </c>
      <c r="E45" s="1">
        <f t="shared" si="4"/>
        <v>100003547</v>
      </c>
      <c r="F45" s="1">
        <f t="shared" si="4"/>
        <v>100115094</v>
      </c>
      <c r="G45" s="1">
        <f t="shared" si="4"/>
        <v>100001953</v>
      </c>
      <c r="I45" s="1" t="e">
        <f ca="1">[1]!LRE(I39,I21)</f>
        <v>#NAME?</v>
      </c>
      <c r="J45" s="1" t="e">
        <f ca="1">[1]!LRE(J39,J21)</f>
        <v>#NAME?</v>
      </c>
      <c r="K45" s="1" t="e">
        <f ca="1">[1]!LRE(K39,K21)</f>
        <v>#NAME?</v>
      </c>
      <c r="L45" s="1" t="e">
        <f ca="1">[1]!LRE(L39,L21)</f>
        <v>#NAME?</v>
      </c>
      <c r="M45" s="1" t="e">
        <f ca="1">[1]!LRE(M39,M21)</f>
        <v>#NAME?</v>
      </c>
      <c r="N45" s="1" t="e">
        <f ca="1">[1]!LRE(N39,N21)</f>
        <v>#NAME?</v>
      </c>
      <c r="R45" s="5" t="s">
        <v>74</v>
      </c>
      <c r="S45" s="5">
        <v>0.97132945919211866</v>
      </c>
      <c r="T45" s="5">
        <v>0.99114919008139635</v>
      </c>
      <c r="U45" s="5">
        <v>0.99527348376478475</v>
      </c>
      <c r="V45" s="5">
        <v>0.66825660456217462</v>
      </c>
      <c r="W45" s="5">
        <v>0.41724514983494537</v>
      </c>
      <c r="X45" s="5">
        <v>0.99395284623292546</v>
      </c>
      <c r="Y45" s="5">
        <v>1</v>
      </c>
    </row>
    <row r="46" spans="1:35">
      <c r="A46" s="1">
        <f t="shared" si="2"/>
        <v>100063761</v>
      </c>
      <c r="B46" s="1">
        <f t="shared" si="4"/>
        <v>100000100</v>
      </c>
      <c r="C46" s="1">
        <f t="shared" si="4"/>
        <v>100363112</v>
      </c>
      <c r="D46" s="1">
        <f t="shared" si="4"/>
        <v>100003578</v>
      </c>
      <c r="E46" s="1">
        <f t="shared" si="4"/>
        <v>100003350</v>
      </c>
      <c r="F46" s="1">
        <f t="shared" si="4"/>
        <v>100116219</v>
      </c>
      <c r="G46" s="1">
        <f t="shared" si="4"/>
        <v>100001954</v>
      </c>
      <c r="I46" s="1" t="e">
        <f ca="1">[1]!LRE(I40,I22)</f>
        <v>#NAME?</v>
      </c>
      <c r="J46" s="1" t="e">
        <f ca="1">[1]!LRE(J40,J22)</f>
        <v>#NAME?</v>
      </c>
      <c r="K46" s="1" t="e">
        <f ca="1">[1]!LRE(K40,K22)</f>
        <v>#NAME?</v>
      </c>
      <c r="L46" s="1" t="e">
        <f ca="1">[1]!LRE(L40,L22)</f>
        <v>#NAME?</v>
      </c>
      <c r="M46" s="1" t="e">
        <f ca="1">[1]!LRE(M40,M22)</f>
        <v>#NAME?</v>
      </c>
      <c r="N46" s="1" t="e">
        <f ca="1">[1]!LRE(N40,N22)</f>
        <v>#NAME?</v>
      </c>
      <c r="AD46" s="12">
        <f>AD3-AD31</f>
        <v>2.9842794901924208E-13</v>
      </c>
    </row>
    <row r="47" spans="1:35">
      <c r="A47" s="1">
        <f t="shared" si="2"/>
        <v>100066019</v>
      </c>
      <c r="B47" s="1">
        <f t="shared" si="4"/>
        <v>100000101.2</v>
      </c>
      <c r="C47" s="1">
        <f t="shared" si="4"/>
        <v>100397469</v>
      </c>
      <c r="D47" s="1">
        <f t="shared" si="4"/>
        <v>100002904</v>
      </c>
      <c r="E47" s="1">
        <f t="shared" si="4"/>
        <v>100003048</v>
      </c>
      <c r="F47" s="1">
        <f t="shared" si="4"/>
        <v>100117388</v>
      </c>
      <c r="G47" s="1">
        <f t="shared" si="4"/>
        <v>100001955</v>
      </c>
      <c r="I47" s="1" t="e">
        <f ca="1">[1]!LRE(I41,I23)</f>
        <v>#NAME?</v>
      </c>
      <c r="J47" s="1" t="e">
        <f ca="1">[1]!LRE(J41,J23)</f>
        <v>#NAME?</v>
      </c>
      <c r="K47" s="1" t="e">
        <f ca="1">[1]!LRE(K41,K23)</f>
        <v>#NAME?</v>
      </c>
      <c r="L47" s="1" t="e">
        <f ca="1">[1]!LRE(L41,L23)</f>
        <v>#NAME?</v>
      </c>
      <c r="M47" s="1" t="e">
        <f ca="1">[1]!LRE(M41,M23)</f>
        <v>#NAME?</v>
      </c>
      <c r="N47" s="1" t="e">
        <f ca="1">[1]!LRE(N41,N23)</f>
        <v>#NAME?</v>
      </c>
    </row>
    <row r="48" spans="1:35">
      <c r="A48" s="1">
        <f t="shared" si="2"/>
        <v>100067857</v>
      </c>
      <c r="B48" s="1">
        <f t="shared" si="4"/>
        <v>100000104.59999999</v>
      </c>
      <c r="C48" s="1">
        <f t="shared" si="4"/>
        <v>100419180</v>
      </c>
      <c r="D48" s="1">
        <f t="shared" si="4"/>
        <v>100002822</v>
      </c>
      <c r="E48" s="1">
        <f t="shared" si="4"/>
        <v>100002857</v>
      </c>
      <c r="F48" s="1">
        <f t="shared" si="4"/>
        <v>100118734</v>
      </c>
      <c r="G48" s="1">
        <f t="shared" si="4"/>
        <v>100001956</v>
      </c>
      <c r="I48" s="1" t="e">
        <f ca="1">[1]!LRE(I42,I24)</f>
        <v>#NAME?</v>
      </c>
      <c r="J48" s="1" t="e">
        <f ca="1">[1]!LRE(J42,J24)</f>
        <v>#NAME?</v>
      </c>
      <c r="K48" s="1" t="e">
        <f ca="1">[1]!LRE(K42,K24)</f>
        <v>#NAME?</v>
      </c>
      <c r="L48" s="1" t="e">
        <f ca="1">[1]!LRE(L42,L24)</f>
        <v>#NAME?</v>
      </c>
      <c r="M48" s="1" t="e">
        <f ca="1">[1]!LRE(M42,M24)</f>
        <v>#NAME?</v>
      </c>
      <c r="N48" s="1" t="e">
        <f ca="1">[1]!LRE(N42,N24)</f>
        <v>#NAME?</v>
      </c>
      <c r="S48" s="1" t="e">
        <f ca="1">[1]!LRE(S40,S13)</f>
        <v>#NAME?</v>
      </c>
      <c r="T48" s="1"/>
      <c r="U48" s="1"/>
      <c r="V48" s="1"/>
      <c r="W48" s="1"/>
      <c r="X48" s="1"/>
    </row>
    <row r="49" spans="1:35">
      <c r="A49" s="1">
        <f t="shared" si="2"/>
        <v>100068169</v>
      </c>
      <c r="B49" s="1">
        <f t="shared" si="4"/>
        <v>100000108.40000001</v>
      </c>
      <c r="C49" s="1">
        <f t="shared" si="4"/>
        <v>100442769</v>
      </c>
      <c r="D49" s="1">
        <f t="shared" si="4"/>
        <v>100002936</v>
      </c>
      <c r="E49" s="1">
        <f t="shared" si="4"/>
        <v>100002798</v>
      </c>
      <c r="F49" s="1">
        <f t="shared" si="4"/>
        <v>100120445</v>
      </c>
      <c r="G49" s="1">
        <f t="shared" si="4"/>
        <v>100001957</v>
      </c>
      <c r="S49" s="1" t="e">
        <f ca="1">[1]!LRE(S41,S14)</f>
        <v>#NAME?</v>
      </c>
      <c r="T49" s="1" t="e">
        <f ca="1">[1]!LRE(T41,T14)</f>
        <v>#NAME?</v>
      </c>
      <c r="U49" s="1"/>
      <c r="V49" s="1"/>
      <c r="W49" s="1"/>
      <c r="X49" s="1"/>
    </row>
    <row r="50" spans="1:35">
      <c r="A50" s="1">
        <f t="shared" si="2"/>
        <v>100066513</v>
      </c>
      <c r="B50" s="1">
        <f t="shared" si="4"/>
        <v>100000110.8</v>
      </c>
      <c r="C50" s="1">
        <f t="shared" si="4"/>
        <v>100444546</v>
      </c>
      <c r="D50" s="1">
        <f t="shared" si="4"/>
        <v>100004681</v>
      </c>
      <c r="E50" s="1">
        <f t="shared" si="4"/>
        <v>100002637</v>
      </c>
      <c r="F50" s="1">
        <f t="shared" si="4"/>
        <v>100121950</v>
      </c>
      <c r="G50" s="1">
        <f t="shared" si="4"/>
        <v>100001958</v>
      </c>
      <c r="S50" s="1" t="e">
        <f ca="1">[1]!LRE(S42,S15)</f>
        <v>#NAME?</v>
      </c>
      <c r="T50" s="1" t="e">
        <f ca="1">[1]!LRE(T42,T15)</f>
        <v>#NAME?</v>
      </c>
      <c r="U50" s="1" t="e">
        <f ca="1">[1]!LRE(U42,U15)</f>
        <v>#NAME?</v>
      </c>
      <c r="V50" s="1"/>
      <c r="W50" s="1"/>
      <c r="X50" s="1"/>
      <c r="AB50" s="5"/>
      <c r="AC50" s="5" t="s">
        <v>68</v>
      </c>
      <c r="AD50" s="5" t="s">
        <v>69</v>
      </c>
      <c r="AE50" s="5" t="s">
        <v>70</v>
      </c>
      <c r="AF50" s="5" t="s">
        <v>71</v>
      </c>
      <c r="AG50" s="5" t="s">
        <v>72</v>
      </c>
      <c r="AH50" s="5" t="s">
        <v>73</v>
      </c>
      <c r="AI50" s="5" t="s">
        <v>74</v>
      </c>
    </row>
    <row r="51" spans="1:35">
      <c r="A51" s="1">
        <f t="shared" si="2"/>
        <v>100068655</v>
      </c>
      <c r="B51" s="1">
        <f t="shared" si="4"/>
        <v>100000112.59999999</v>
      </c>
      <c r="C51" s="1">
        <f t="shared" si="4"/>
        <v>100482704</v>
      </c>
      <c r="D51" s="1">
        <f t="shared" si="4"/>
        <v>100003813</v>
      </c>
      <c r="E51" s="1">
        <f t="shared" si="4"/>
        <v>100002552</v>
      </c>
      <c r="F51" s="1">
        <f t="shared" si="4"/>
        <v>100123366</v>
      </c>
      <c r="G51" s="1">
        <f t="shared" si="4"/>
        <v>100001959</v>
      </c>
      <c r="S51" s="1" t="e">
        <f ca="1">[1]!LRE(S43,S16)</f>
        <v>#NAME?</v>
      </c>
      <c r="T51" s="1" t="e">
        <f ca="1">[1]!LRE(T43,T16)</f>
        <v>#NAME?</v>
      </c>
      <c r="U51" s="1" t="e">
        <f ca="1">[1]!LRE(U43,U16)</f>
        <v>#NAME?</v>
      </c>
      <c r="V51" s="1" t="e">
        <f ca="1">[1]!LRE(V43,V16)</f>
        <v>#NAME?</v>
      </c>
      <c r="W51" s="1"/>
      <c r="X51" s="1"/>
      <c r="AB51" s="5" t="s">
        <v>68</v>
      </c>
      <c r="AC51" s="5">
        <f>VARP(Sheet1!$A$39:$A$54)</f>
        <v>11563052</v>
      </c>
      <c r="AD51" s="5"/>
      <c r="AE51" s="5"/>
      <c r="AF51" s="5"/>
      <c r="AG51" s="5"/>
      <c r="AH51" s="5"/>
      <c r="AI51" s="5"/>
    </row>
    <row r="52" spans="1:35">
      <c r="A52" s="1">
        <f t="shared" si="2"/>
        <v>100069564</v>
      </c>
      <c r="B52" s="1">
        <f t="shared" si="4"/>
        <v>100000114.2</v>
      </c>
      <c r="C52" s="1">
        <f t="shared" si="4"/>
        <v>100502601</v>
      </c>
      <c r="D52" s="1">
        <f t="shared" si="4"/>
        <v>100003931</v>
      </c>
      <c r="E52" s="1">
        <f t="shared" si="4"/>
        <v>100002514</v>
      </c>
      <c r="F52" s="1">
        <f t="shared" si="4"/>
        <v>100125368</v>
      </c>
      <c r="G52" s="1">
        <f t="shared" si="4"/>
        <v>100001960</v>
      </c>
      <c r="S52" s="1" t="e">
        <f ca="1">[1]!LRE(S44,S17)</f>
        <v>#NAME?</v>
      </c>
      <c r="T52" s="1" t="e">
        <f ca="1">[1]!LRE(T44,T17)</f>
        <v>#NAME?</v>
      </c>
      <c r="U52" s="1" t="e">
        <f ca="1">[1]!LRE(U44,U17)</f>
        <v>#NAME?</v>
      </c>
      <c r="V52" s="1" t="e">
        <f ca="1">[1]!LRE(V44,V17)</f>
        <v>#NAME?</v>
      </c>
      <c r="W52" s="1" t="e">
        <f ca="1">[1]!LRE(W44,W17)</f>
        <v>#NAME?</v>
      </c>
      <c r="X52" s="1"/>
      <c r="AB52" s="5" t="s">
        <v>69</v>
      </c>
      <c r="AC52" s="5">
        <v>34496.868751545437</v>
      </c>
      <c r="AD52" s="5">
        <f>VARP(Sheet1!$B$39:$B$54)</f>
        <v>109.17902344544883</v>
      </c>
      <c r="AE52" s="5"/>
      <c r="AF52" s="5"/>
      <c r="AG52" s="5"/>
      <c r="AH52" s="5"/>
      <c r="AI52" s="5"/>
    </row>
    <row r="53" spans="1:35">
      <c r="A53" s="1">
        <f t="shared" ref="A53:G53" si="5">A16+100000000</f>
        <v>100069331</v>
      </c>
      <c r="B53" s="1">
        <f t="shared" si="5"/>
        <v>100000115.7</v>
      </c>
      <c r="C53" s="1">
        <f t="shared" si="5"/>
        <v>100518173</v>
      </c>
      <c r="D53" s="1">
        <f t="shared" si="5"/>
        <v>100004806</v>
      </c>
      <c r="E53" s="1">
        <f t="shared" si="5"/>
        <v>100002572</v>
      </c>
      <c r="F53" s="1">
        <f t="shared" si="5"/>
        <v>100127852</v>
      </c>
      <c r="G53" s="1">
        <f t="shared" si="5"/>
        <v>100001961</v>
      </c>
      <c r="S53" s="1" t="e">
        <f ca="1">[1]!LRE(S45,S18)</f>
        <v>#NAME?</v>
      </c>
      <c r="T53" s="1" t="e">
        <f ca="1">[1]!LRE(T45,T18)</f>
        <v>#NAME?</v>
      </c>
      <c r="U53" s="1" t="e">
        <f ca="1">[1]!LRE(U45,U18)</f>
        <v>#NAME?</v>
      </c>
      <c r="V53" s="1" t="e">
        <f ca="1">[1]!LRE(V45,V18)</f>
        <v>#NAME?</v>
      </c>
      <c r="W53" s="1" t="e">
        <f ca="1">[1]!LRE(W45,W18)</f>
        <v>#NAME?</v>
      </c>
      <c r="X53" s="1" t="e">
        <f ca="1">[1]!LRE(X45,X18)</f>
        <v>#NAME?</v>
      </c>
      <c r="AB53" s="5" t="s">
        <v>70</v>
      </c>
      <c r="AC53" s="5">
        <v>321872068.4375</v>
      </c>
      <c r="AD53" s="5">
        <v>997128.85825581732</v>
      </c>
      <c r="AE53" s="5">
        <f>VARP(Sheet1!$C$39:$C$54)</f>
        <v>9261894054</v>
      </c>
      <c r="AF53" s="5"/>
      <c r="AG53" s="5"/>
      <c r="AH53" s="5"/>
      <c r="AI53" s="5"/>
    </row>
    <row r="54" spans="1:35">
      <c r="A54" s="1">
        <f t="shared" ref="A54:G54" si="6">A17+100000000</f>
        <v>100070551</v>
      </c>
      <c r="B54" s="1">
        <f t="shared" si="6"/>
        <v>100000116.90000001</v>
      </c>
      <c r="C54" s="1">
        <f t="shared" si="6"/>
        <v>100554894</v>
      </c>
      <c r="D54" s="1">
        <f t="shared" si="6"/>
        <v>100004007</v>
      </c>
      <c r="E54" s="1">
        <f t="shared" si="6"/>
        <v>100002827</v>
      </c>
      <c r="F54" s="1">
        <f t="shared" si="6"/>
        <v>100130081</v>
      </c>
      <c r="G54" s="1">
        <f t="shared" si="6"/>
        <v>100001962</v>
      </c>
      <c r="AB54" s="5" t="s">
        <v>71</v>
      </c>
      <c r="AC54" s="5">
        <v>1546033.75</v>
      </c>
      <c r="AD54" s="5">
        <v>5867.4996099536074</v>
      </c>
      <c r="AE54" s="5">
        <v>52616596.73828125</v>
      </c>
      <c r="AF54" s="5">
        <f>VARP(Sheet1!$D$39:$D$54)</f>
        <v>818648</v>
      </c>
      <c r="AG54" s="5"/>
      <c r="AH54" s="5"/>
      <c r="AI54" s="5"/>
    </row>
    <row r="55" spans="1:35">
      <c r="AB55" s="5" t="s">
        <v>72</v>
      </c>
      <c r="AC55" s="5">
        <v>1047826</v>
      </c>
      <c r="AD55" s="5">
        <v>3272.1128902976634</v>
      </c>
      <c r="AE55" s="5">
        <v>28950401.57421875</v>
      </c>
      <c r="AF55" s="5">
        <v>-108167.58984375</v>
      </c>
      <c r="AG55" s="5">
        <f>VARP(Sheet1!$E$39:$E$54)</f>
        <v>454036</v>
      </c>
      <c r="AH55" s="5"/>
      <c r="AI55" s="5"/>
    </row>
    <row r="56" spans="1:35">
      <c r="AB56" s="5" t="s">
        <v>73</v>
      </c>
      <c r="AC56" s="5">
        <v>21995592.875</v>
      </c>
      <c r="AD56" s="5">
        <v>68909.062504837289</v>
      </c>
      <c r="AE56" s="5">
        <v>642413385.5625</v>
      </c>
      <c r="AF56" s="5">
        <v>4183820.1875</v>
      </c>
      <c r="AG56" s="5">
        <v>1653842</v>
      </c>
      <c r="AH56" s="5">
        <f>VARP(Sheet1!$F$39:$F$54)</f>
        <v>45363140</v>
      </c>
      <c r="AI56" s="5"/>
    </row>
    <row r="57" spans="1:35">
      <c r="AB57" s="5" t="s">
        <v>74</v>
      </c>
      <c r="AC57" s="5">
        <v>15225.875</v>
      </c>
      <c r="AD57" s="5">
        <v>47.740625002421439</v>
      </c>
      <c r="AE57" s="5">
        <v>441541.78125</v>
      </c>
      <c r="AF57" s="5">
        <v>2787.21875</v>
      </c>
      <c r="AG57" s="5">
        <v>1296.03125</v>
      </c>
      <c r="AH57" s="5">
        <v>30860.0625</v>
      </c>
      <c r="AI57" s="5">
        <f>VARP(Sheet1!$G$39:$G$54)</f>
        <v>21.25</v>
      </c>
    </row>
    <row r="59" spans="1:35">
      <c r="AB59" s="19"/>
      <c r="AC59" s="19"/>
      <c r="AD59" s="19"/>
      <c r="AE59" s="19"/>
      <c r="AF59" s="19"/>
      <c r="AG59" s="19"/>
      <c r="AH59" s="19"/>
      <c r="AI59" s="19"/>
    </row>
    <row r="60" spans="1:35">
      <c r="F60" t="s">
        <v>52</v>
      </c>
      <c r="AB60" s="19"/>
      <c r="AC60" s="20" t="e">
        <f ca="1">[1]!LRE(AC51,AC12)</f>
        <v>#NAME?</v>
      </c>
      <c r="AD60" s="20"/>
      <c r="AE60" s="20"/>
      <c r="AF60" s="20"/>
      <c r="AG60" s="20"/>
      <c r="AH60" s="20"/>
      <c r="AI60" s="20"/>
    </row>
    <row r="61" spans="1:35">
      <c r="F61" t="s">
        <v>53</v>
      </c>
      <c r="AB61" s="19"/>
      <c r="AC61" s="20" t="e">
        <f ca="1">[1]!LRE(AC52,AC13)</f>
        <v>#NAME?</v>
      </c>
      <c r="AD61" s="20" t="e">
        <f ca="1">[1]!LRE(AD52,AD13)</f>
        <v>#NAME?</v>
      </c>
      <c r="AE61" s="20"/>
      <c r="AF61" s="20"/>
      <c r="AG61" s="20"/>
      <c r="AH61" s="20"/>
      <c r="AI61" s="20"/>
    </row>
    <row r="62" spans="1:35">
      <c r="AB62" s="19"/>
      <c r="AC62" s="20" t="e">
        <f ca="1">[1]!LRE(AC53,AC14)</f>
        <v>#NAME?</v>
      </c>
      <c r="AD62" s="20" t="e">
        <f ca="1">[1]!LRE(AD53,AD14)</f>
        <v>#NAME?</v>
      </c>
      <c r="AE62" s="20" t="e">
        <f ca="1">[1]!LRE(AE53,AE14)</f>
        <v>#NAME?</v>
      </c>
      <c r="AF62" s="20"/>
      <c r="AG62" s="20"/>
      <c r="AH62" s="20"/>
      <c r="AI62" s="20"/>
    </row>
    <row r="63" spans="1:35">
      <c r="AB63" s="19"/>
      <c r="AC63" s="20" t="e">
        <f ca="1">[1]!LRE(AC54,AC15)</f>
        <v>#NAME?</v>
      </c>
      <c r="AD63" s="20" t="e">
        <f ca="1">[1]!LRE(AD54,AD15)</f>
        <v>#NAME?</v>
      </c>
      <c r="AE63" s="20" t="e">
        <f ca="1">[1]!LRE(AE54,AE15)</f>
        <v>#NAME?</v>
      </c>
      <c r="AF63" s="20" t="e">
        <f ca="1">[1]!LRE(AF54,AF15)</f>
        <v>#NAME?</v>
      </c>
      <c r="AG63" s="20"/>
      <c r="AH63" s="20"/>
      <c r="AI63" s="20"/>
    </row>
    <row r="64" spans="1:35">
      <c r="AB64" s="19"/>
      <c r="AC64" s="20" t="e">
        <f ca="1">[1]!LRE(AC55,AC16)</f>
        <v>#NAME?</v>
      </c>
      <c r="AD64" s="20" t="e">
        <f ca="1">[1]!LRE(AD55,AD16)</f>
        <v>#NAME?</v>
      </c>
      <c r="AE64" s="20" t="e">
        <f ca="1">[1]!LRE(AE55,AE16)</f>
        <v>#NAME?</v>
      </c>
      <c r="AF64" s="20" t="e">
        <f ca="1">[1]!LRE(AF55,AF16)</f>
        <v>#NAME?</v>
      </c>
      <c r="AG64" s="20" t="e">
        <f ca="1">[1]!LRE(AG55,AG16)</f>
        <v>#NAME?</v>
      </c>
      <c r="AH64" s="20"/>
      <c r="AI64" s="20"/>
    </row>
    <row r="65" spans="28:35">
      <c r="AB65" s="19"/>
      <c r="AC65" s="20" t="e">
        <f ca="1">[1]!LRE(AC56,AC17)</f>
        <v>#NAME?</v>
      </c>
      <c r="AD65" s="20" t="e">
        <f ca="1">[1]!LRE(AD56,AD17)</f>
        <v>#NAME?</v>
      </c>
      <c r="AE65" s="20" t="e">
        <f ca="1">[1]!LRE(AE56,AE17)</f>
        <v>#NAME?</v>
      </c>
      <c r="AF65" s="20" t="e">
        <f ca="1">[1]!LRE(AF56,AF17)</f>
        <v>#NAME?</v>
      </c>
      <c r="AG65" s="20" t="e">
        <f ca="1">[1]!LRE(AG56,AG17)</f>
        <v>#NAME?</v>
      </c>
      <c r="AH65" s="20" t="e">
        <f ca="1">[1]!LRE(AH56,AH17)</f>
        <v>#NAME?</v>
      </c>
      <c r="AI65" s="20"/>
    </row>
    <row r="66" spans="28:35">
      <c r="AB66" s="19"/>
      <c r="AC66" s="20" t="e">
        <f ca="1">[1]!LRE(AC57,AC18)</f>
        <v>#NAME?</v>
      </c>
      <c r="AD66" s="20" t="e">
        <f ca="1">[1]!LRE(AD57,AD18)</f>
        <v>#NAME?</v>
      </c>
      <c r="AE66" s="20" t="e">
        <f ca="1">[1]!LRE(AE57,AE18)</f>
        <v>#NAME?</v>
      </c>
      <c r="AF66" s="20" t="e">
        <f ca="1">[1]!LRE(AF57,AF18)</f>
        <v>#NAME?</v>
      </c>
      <c r="AG66" s="20" t="e">
        <f ca="1">[1]!LRE(AG57,AG18)</f>
        <v>#NAME?</v>
      </c>
      <c r="AH66" s="20" t="e">
        <f ca="1">[1]!LRE(AH57,AH18)</f>
        <v>#NAME?</v>
      </c>
      <c r="AI66" s="20" t="e">
        <f ca="1">[1]!LRE(AI57,AI18)</f>
        <v>#NAME?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Z28"/>
  <sheetViews>
    <sheetView workbookViewId="0">
      <selection activeCell="T24" sqref="T24"/>
    </sheetView>
  </sheetViews>
  <sheetFormatPr defaultRowHeight="12.75"/>
  <cols>
    <col min="2" max="8" width="6.28515625" customWidth="1"/>
    <col min="11" max="17" width="6.28515625" customWidth="1"/>
    <col min="20" max="26" width="6.28515625" customWidth="1"/>
  </cols>
  <sheetData>
    <row r="1" spans="1:26">
      <c r="A1" t="s">
        <v>43</v>
      </c>
      <c r="B1" t="s">
        <v>49</v>
      </c>
      <c r="C1" t="s">
        <v>83</v>
      </c>
      <c r="D1" t="s">
        <v>50</v>
      </c>
      <c r="E1" t="s">
        <v>84</v>
      </c>
      <c r="F1" t="s">
        <v>85</v>
      </c>
      <c r="G1" t="s">
        <v>15</v>
      </c>
      <c r="H1" t="s">
        <v>86</v>
      </c>
      <c r="J1" t="s">
        <v>44</v>
      </c>
      <c r="K1" t="s">
        <v>49</v>
      </c>
      <c r="L1" t="s">
        <v>83</v>
      </c>
      <c r="M1" t="s">
        <v>50</v>
      </c>
      <c r="N1" t="s">
        <v>84</v>
      </c>
      <c r="O1" t="s">
        <v>85</v>
      </c>
      <c r="P1" t="s">
        <v>15</v>
      </c>
      <c r="Q1" t="s">
        <v>86</v>
      </c>
      <c r="S1" t="s">
        <v>45</v>
      </c>
      <c r="T1" t="s">
        <v>49</v>
      </c>
      <c r="U1" t="s">
        <v>83</v>
      </c>
      <c r="V1" t="s">
        <v>50</v>
      </c>
      <c r="W1" t="s">
        <v>84</v>
      </c>
      <c r="X1" t="s">
        <v>85</v>
      </c>
      <c r="Y1" t="s">
        <v>15</v>
      </c>
      <c r="Z1" t="s">
        <v>86</v>
      </c>
    </row>
    <row r="2" spans="1:26">
      <c r="A2" t="s">
        <v>49</v>
      </c>
      <c r="B2" s="1">
        <v>15.999999999880199</v>
      </c>
      <c r="C2" s="1"/>
      <c r="D2" s="1"/>
      <c r="E2" s="1"/>
      <c r="F2" s="1"/>
      <c r="G2" s="1"/>
      <c r="H2" s="1"/>
      <c r="J2" t="s">
        <v>49</v>
      </c>
      <c r="K2" s="1">
        <v>15.999999999880199</v>
      </c>
      <c r="L2" s="1"/>
      <c r="M2" s="1"/>
      <c r="N2" s="1"/>
      <c r="O2" s="1"/>
      <c r="P2" s="1"/>
      <c r="Q2" s="1"/>
      <c r="S2" t="s">
        <v>49</v>
      </c>
      <c r="T2" s="1">
        <v>15.999999999880199</v>
      </c>
      <c r="U2" s="1"/>
      <c r="V2" s="1"/>
      <c r="W2" s="1"/>
      <c r="X2" s="1"/>
      <c r="Y2" s="1"/>
      <c r="Z2" s="1"/>
    </row>
    <row r="3" spans="1:26">
      <c r="A3" t="s">
        <v>83</v>
      </c>
      <c r="B3" s="1">
        <v>15.999999999880199</v>
      </c>
      <c r="C3" s="1">
        <v>15.584489010160123</v>
      </c>
      <c r="D3" s="1"/>
      <c r="E3" s="1"/>
      <c r="F3" s="1"/>
      <c r="G3" s="1"/>
      <c r="H3" s="1"/>
      <c r="J3" t="s">
        <v>83</v>
      </c>
      <c r="K3" s="1">
        <v>15.999999999880199</v>
      </c>
      <c r="L3" s="1">
        <v>15.653559774409812</v>
      </c>
      <c r="M3" s="1"/>
      <c r="N3" s="1"/>
      <c r="O3" s="1"/>
      <c r="P3" s="1"/>
      <c r="Q3" s="1"/>
      <c r="S3" t="s">
        <v>83</v>
      </c>
      <c r="T3" s="1">
        <v>13.759920023473466</v>
      </c>
      <c r="U3" s="1">
        <v>15.999999999880199</v>
      </c>
      <c r="V3" s="1"/>
      <c r="W3" s="1"/>
      <c r="X3" s="1"/>
      <c r="Y3" s="1"/>
      <c r="Z3" s="1"/>
    </row>
    <row r="4" spans="1:26">
      <c r="A4" t="s">
        <v>50</v>
      </c>
      <c r="B4" s="1">
        <v>15.999999999880199</v>
      </c>
      <c r="C4" s="1">
        <v>15.631708246657228</v>
      </c>
      <c r="D4" s="1">
        <v>15.999999999880199</v>
      </c>
      <c r="E4" s="1"/>
      <c r="F4" s="1"/>
      <c r="G4" s="1"/>
      <c r="H4" s="1"/>
      <c r="J4" t="s">
        <v>50</v>
      </c>
      <c r="K4" s="1">
        <v>15.999999999880199</v>
      </c>
      <c r="L4" s="1">
        <v>15.473800823636722</v>
      </c>
      <c r="M4" s="1">
        <v>15.999999999880199</v>
      </c>
      <c r="N4" s="1"/>
      <c r="O4" s="1"/>
      <c r="P4" s="1"/>
      <c r="Q4" s="1"/>
      <c r="S4" t="s">
        <v>50</v>
      </c>
      <c r="T4" s="1">
        <v>15.999999999880199</v>
      </c>
      <c r="U4" s="1">
        <v>14.218528318542814</v>
      </c>
      <c r="V4" s="1">
        <v>15.999999999880199</v>
      </c>
      <c r="W4" s="1"/>
      <c r="X4" s="1"/>
      <c r="Y4" s="1"/>
      <c r="Z4" s="1"/>
    </row>
    <row r="5" spans="1:26">
      <c r="A5" t="s">
        <v>84</v>
      </c>
      <c r="B5" s="1">
        <v>15.999999999880199</v>
      </c>
      <c r="C5" s="1">
        <v>15.999999999880199</v>
      </c>
      <c r="D5" s="1">
        <v>15.999999999880199</v>
      </c>
      <c r="E5" s="1">
        <v>15.999999999880199</v>
      </c>
      <c r="F5" s="1"/>
      <c r="G5" s="1"/>
      <c r="H5" s="1"/>
      <c r="J5" t="s">
        <v>84</v>
      </c>
      <c r="K5" s="1">
        <v>15.999999999880199</v>
      </c>
      <c r="L5" s="1">
        <v>15.747207299698886</v>
      </c>
      <c r="M5" s="1">
        <v>15.999999999880199</v>
      </c>
      <c r="N5" s="1">
        <v>15.999999999880199</v>
      </c>
      <c r="O5" s="1"/>
      <c r="P5" s="1"/>
      <c r="Q5" s="1"/>
      <c r="S5" t="s">
        <v>84</v>
      </c>
      <c r="T5" s="1">
        <v>15.999999999880199</v>
      </c>
      <c r="U5" s="1">
        <v>14.145147308382915</v>
      </c>
      <c r="V5" s="1">
        <v>15.999999999880199</v>
      </c>
      <c r="W5" s="1">
        <v>15.999999999880199</v>
      </c>
      <c r="X5" s="1"/>
      <c r="Y5" s="1"/>
      <c r="Z5" s="1"/>
    </row>
    <row r="6" spans="1:26">
      <c r="A6" t="s">
        <v>85</v>
      </c>
      <c r="B6" s="1">
        <v>15.999999999880199</v>
      </c>
      <c r="C6" s="1">
        <v>15.857688868829472</v>
      </c>
      <c r="D6" s="1">
        <v>15.999999999880199</v>
      </c>
      <c r="E6" s="1">
        <v>15.999999999880199</v>
      </c>
      <c r="F6" s="1">
        <v>15.999999999880199</v>
      </c>
      <c r="G6" s="1"/>
      <c r="H6" s="1"/>
      <c r="J6" t="s">
        <v>85</v>
      </c>
      <c r="K6" s="1">
        <v>15.999999999880199</v>
      </c>
      <c r="L6" s="1">
        <v>15.999999999880199</v>
      </c>
      <c r="M6" s="1">
        <v>15.999999999880199</v>
      </c>
      <c r="N6" s="1">
        <v>15.999999999880199</v>
      </c>
      <c r="O6" s="1">
        <v>15.999999999880199</v>
      </c>
      <c r="P6" s="1"/>
      <c r="Q6" s="1"/>
      <c r="S6" t="s">
        <v>85</v>
      </c>
      <c r="T6" s="1">
        <v>15.999999999880199</v>
      </c>
      <c r="U6" s="1">
        <v>14.224427951593102</v>
      </c>
      <c r="V6" s="1">
        <v>15.999999999880199</v>
      </c>
      <c r="W6" s="1">
        <v>15.999999999880199</v>
      </c>
      <c r="X6" s="1">
        <v>15.999999999880199</v>
      </c>
      <c r="Y6" s="1"/>
      <c r="Z6" s="1"/>
    </row>
    <row r="7" spans="1:26">
      <c r="A7" t="s">
        <v>15</v>
      </c>
      <c r="B7" s="1">
        <v>15.999999999880199</v>
      </c>
      <c r="C7" s="1">
        <v>15.675356185213534</v>
      </c>
      <c r="D7" s="1">
        <v>15.999999999880199</v>
      </c>
      <c r="E7" s="1">
        <v>15.999999999880199</v>
      </c>
      <c r="F7" s="1">
        <v>15.999999999880199</v>
      </c>
      <c r="G7" s="1">
        <v>15.999999999880199</v>
      </c>
      <c r="H7" s="1"/>
      <c r="J7" t="s">
        <v>15</v>
      </c>
      <c r="K7" s="1">
        <v>15.999999999880199</v>
      </c>
      <c r="L7" s="1">
        <v>15.999999999880199</v>
      </c>
      <c r="M7" s="1">
        <v>15.999999999880199</v>
      </c>
      <c r="N7" s="1">
        <v>15.999999999880199</v>
      </c>
      <c r="O7" s="1">
        <v>15.999999999880199</v>
      </c>
      <c r="P7" s="1">
        <v>15.999999999880199</v>
      </c>
      <c r="Q7" s="1"/>
      <c r="S7" t="s">
        <v>15</v>
      </c>
      <c r="T7" s="1">
        <v>15.999999999880199</v>
      </c>
      <c r="U7" s="1">
        <v>13.549245609297918</v>
      </c>
      <c r="V7" s="1">
        <v>15.999999999880199</v>
      </c>
      <c r="W7" s="1">
        <v>15.999999999880199</v>
      </c>
      <c r="X7" s="1">
        <v>15.999999999880199</v>
      </c>
      <c r="Y7" s="1">
        <v>15.999999999880199</v>
      </c>
      <c r="Z7" s="1"/>
    </row>
    <row r="8" spans="1:26">
      <c r="A8" t="s">
        <v>86</v>
      </c>
      <c r="B8" s="1">
        <v>15.999999999880199</v>
      </c>
      <c r="C8" s="1">
        <v>15.75189248334974</v>
      </c>
      <c r="D8" s="1">
        <v>15.999999999880199</v>
      </c>
      <c r="E8" s="1">
        <v>15.999999999880199</v>
      </c>
      <c r="F8" s="1">
        <v>15.999999999880199</v>
      </c>
      <c r="G8" s="1">
        <v>15.999999999880199</v>
      </c>
      <c r="H8" s="1">
        <v>15.999999999880199</v>
      </c>
      <c r="J8" t="s">
        <v>86</v>
      </c>
      <c r="K8" s="1">
        <v>15.999999999880199</v>
      </c>
      <c r="L8" s="1">
        <v>15.218513825959626</v>
      </c>
      <c r="M8" s="1">
        <v>15.999999999880199</v>
      </c>
      <c r="N8" s="1">
        <v>15.999999999880199</v>
      </c>
      <c r="O8" s="1">
        <v>15.999999999880199</v>
      </c>
      <c r="P8" s="1">
        <v>15.999999999880199</v>
      </c>
      <c r="Q8" s="1">
        <v>15.999999999880199</v>
      </c>
      <c r="S8" t="s">
        <v>86</v>
      </c>
      <c r="T8" s="1">
        <v>15.999999999880199</v>
      </c>
      <c r="U8" s="1">
        <v>12.843033111358903</v>
      </c>
      <c r="V8" s="1">
        <v>15.999999999880199</v>
      </c>
      <c r="W8" s="1">
        <v>15.999999999880199</v>
      </c>
      <c r="X8" s="1">
        <v>15.999999999880199</v>
      </c>
      <c r="Y8" s="1">
        <v>15.999999999880199</v>
      </c>
      <c r="Z8" s="1">
        <v>15.999999999880199</v>
      </c>
    </row>
    <row r="11" spans="1:26">
      <c r="A11" t="s">
        <v>43</v>
      </c>
      <c r="B11" t="s">
        <v>49</v>
      </c>
      <c r="C11" t="s">
        <v>83</v>
      </c>
      <c r="D11" t="s">
        <v>50</v>
      </c>
      <c r="E11" t="s">
        <v>84</v>
      </c>
      <c r="F11" t="s">
        <v>85</v>
      </c>
      <c r="G11" t="s">
        <v>15</v>
      </c>
      <c r="H11" t="s">
        <v>86</v>
      </c>
      <c r="J11" t="s">
        <v>44</v>
      </c>
      <c r="K11" t="s">
        <v>49</v>
      </c>
      <c r="L11" t="s">
        <v>83</v>
      </c>
      <c r="M11" t="s">
        <v>50</v>
      </c>
      <c r="N11" t="s">
        <v>84</v>
      </c>
      <c r="O11" t="s">
        <v>85</v>
      </c>
      <c r="P11" t="s">
        <v>15</v>
      </c>
      <c r="Q11" t="s">
        <v>86</v>
      </c>
      <c r="S11" t="s">
        <v>45</v>
      </c>
      <c r="T11" t="s">
        <v>49</v>
      </c>
      <c r="U11" t="s">
        <v>83</v>
      </c>
      <c r="V11" t="s">
        <v>50</v>
      </c>
      <c r="W11" t="s">
        <v>84</v>
      </c>
      <c r="X11" t="s">
        <v>85</v>
      </c>
      <c r="Y11" t="s">
        <v>15</v>
      </c>
      <c r="Z11" t="s">
        <v>86</v>
      </c>
    </row>
    <row r="12" spans="1:26">
      <c r="A12" t="s">
        <v>49</v>
      </c>
      <c r="B12" s="1">
        <v>15.999999999880199</v>
      </c>
      <c r="C12" s="1"/>
      <c r="D12" s="1"/>
      <c r="E12" s="1"/>
      <c r="F12" s="1"/>
      <c r="G12" s="1"/>
      <c r="H12" s="1"/>
      <c r="J12" t="s">
        <v>49</v>
      </c>
      <c r="K12" s="1">
        <v>15.999999999880199</v>
      </c>
      <c r="L12" s="1"/>
      <c r="M12" s="1"/>
      <c r="N12" s="1"/>
      <c r="O12" s="1"/>
      <c r="P12" s="1"/>
      <c r="Q12" s="1"/>
      <c r="S12" t="s">
        <v>49</v>
      </c>
      <c r="T12" s="1">
        <v>15.999999999880199</v>
      </c>
      <c r="U12" s="1"/>
      <c r="V12" s="1"/>
      <c r="W12" s="1"/>
      <c r="X12" s="1"/>
      <c r="Y12" s="1"/>
      <c r="Z12" s="1"/>
    </row>
    <row r="13" spans="1:26">
      <c r="A13" t="s">
        <v>83</v>
      </c>
      <c r="B13" s="1">
        <v>10.348728869379892</v>
      </c>
      <c r="C13" s="1">
        <v>10.137836916336434</v>
      </c>
      <c r="D13" s="1"/>
      <c r="E13" s="1"/>
      <c r="F13" s="1"/>
      <c r="G13" s="1"/>
      <c r="H13" s="1"/>
      <c r="J13" t="s">
        <v>83</v>
      </c>
      <c r="K13" s="1">
        <v>11.075901912197718</v>
      </c>
      <c r="L13" s="1">
        <v>15.954589770071541</v>
      </c>
      <c r="M13" s="1"/>
      <c r="N13" s="1"/>
      <c r="O13" s="1"/>
      <c r="P13" s="1"/>
      <c r="Q13" s="1"/>
      <c r="S13" t="s">
        <v>83</v>
      </c>
      <c r="T13" s="1">
        <v>1.8344148891450966</v>
      </c>
      <c r="U13" s="1">
        <v>15.999999999880199</v>
      </c>
      <c r="V13" s="1"/>
      <c r="W13" s="1"/>
      <c r="X13" s="1"/>
      <c r="Y13" s="1"/>
      <c r="Z13" s="1"/>
    </row>
    <row r="14" spans="1:26">
      <c r="A14" t="s">
        <v>50</v>
      </c>
      <c r="B14" s="1">
        <v>5.1478715152135672</v>
      </c>
      <c r="C14" s="1">
        <v>5.1753908082642557</v>
      </c>
      <c r="D14" s="1">
        <v>4.8014755323131073</v>
      </c>
      <c r="E14" s="1"/>
      <c r="F14" s="1"/>
      <c r="G14" s="1"/>
      <c r="H14" s="1"/>
      <c r="J14" t="s">
        <v>50</v>
      </c>
      <c r="K14" s="1">
        <v>6.1060243115382944</v>
      </c>
      <c r="L14" s="1">
        <v>5.9135556202819251</v>
      </c>
      <c r="M14" s="1">
        <v>15.999999999880199</v>
      </c>
      <c r="N14" s="1"/>
      <c r="O14" s="1"/>
      <c r="P14" s="1"/>
      <c r="Q14" s="1"/>
      <c r="S14" t="s">
        <v>50</v>
      </c>
      <c r="T14" s="1">
        <v>6.0998190230266314</v>
      </c>
      <c r="U14" s="1">
        <v>1.8337397046777206</v>
      </c>
      <c r="V14" s="1">
        <v>15.999999999880199</v>
      </c>
      <c r="W14" s="1"/>
      <c r="X14" s="1"/>
      <c r="Y14" s="1"/>
      <c r="Z14" s="1"/>
    </row>
    <row r="15" spans="1:26">
      <c r="A15" t="s">
        <v>84</v>
      </c>
      <c r="B15" s="1">
        <v>2.9755352303514755</v>
      </c>
      <c r="C15" s="1">
        <v>3.0912240119654428</v>
      </c>
      <c r="D15" s="1">
        <v>3.0001159500077685</v>
      </c>
      <c r="E15" s="1">
        <v>3.2080117436125613</v>
      </c>
      <c r="F15" s="1"/>
      <c r="G15" s="1"/>
      <c r="H15" s="1"/>
      <c r="J15" t="s">
        <v>84</v>
      </c>
      <c r="K15" s="1">
        <v>3.1258541607851846</v>
      </c>
      <c r="L15" s="1">
        <v>3.3002161416243827</v>
      </c>
      <c r="M15" s="1">
        <v>3.1660281459372759</v>
      </c>
      <c r="N15" s="1">
        <v>15.954589770071541</v>
      </c>
      <c r="O15" s="1"/>
      <c r="P15" s="1"/>
      <c r="Q15" s="1"/>
      <c r="S15" t="s">
        <v>84</v>
      </c>
      <c r="T15" s="1">
        <v>3.1253865432071595</v>
      </c>
      <c r="U15" s="1">
        <v>1.8169219953043783</v>
      </c>
      <c r="V15" s="1">
        <v>3.1664151661976385</v>
      </c>
      <c r="W15" s="1">
        <v>15.999999999880199</v>
      </c>
      <c r="X15" s="1"/>
      <c r="Y15" s="1"/>
      <c r="Z15" s="1"/>
    </row>
    <row r="16" spans="1:26">
      <c r="A16" t="s">
        <v>85</v>
      </c>
      <c r="B16" s="1">
        <v>2.8066054305112669</v>
      </c>
      <c r="C16" s="1">
        <v>2.8375992442486369</v>
      </c>
      <c r="D16" s="1">
        <v>2.744398815601222</v>
      </c>
      <c r="E16" s="1">
        <v>2.7693623170599424</v>
      </c>
      <c r="F16" s="1">
        <v>3.5135745106252303</v>
      </c>
      <c r="G16" s="1"/>
      <c r="H16" s="1"/>
      <c r="J16" t="s">
        <v>85</v>
      </c>
      <c r="K16" s="1">
        <v>2.8515460841750393</v>
      </c>
      <c r="L16" s="1">
        <v>2.8860511238334112</v>
      </c>
      <c r="M16" s="1">
        <v>2.7809961976589648</v>
      </c>
      <c r="N16" s="1">
        <v>2.8112374648447398</v>
      </c>
      <c r="O16" s="1">
        <v>15.954589770071541</v>
      </c>
      <c r="P16" s="1"/>
      <c r="Q16" s="1"/>
      <c r="S16" t="s">
        <v>85</v>
      </c>
      <c r="T16" s="1">
        <v>2.8512314903617955</v>
      </c>
      <c r="U16" s="1">
        <v>1.8745078008442104</v>
      </c>
      <c r="V16" s="1">
        <v>2.7807549745617473</v>
      </c>
      <c r="W16" s="1">
        <v>2.8054788434461106</v>
      </c>
      <c r="X16" s="1">
        <v>15.999999999880199</v>
      </c>
      <c r="Y16" s="1"/>
      <c r="Z16" s="1"/>
    </row>
    <row r="17" spans="1:26" ht="12" customHeight="1">
      <c r="A17" t="s">
        <v>15</v>
      </c>
      <c r="B17" s="1">
        <v>15.999999999880199</v>
      </c>
      <c r="C17" s="1">
        <v>10.153674266008196</v>
      </c>
      <c r="D17" s="1">
        <v>5.0645057439872838</v>
      </c>
      <c r="E17" s="1">
        <v>3.024392209319128</v>
      </c>
      <c r="F17" s="1">
        <v>2.6213132150199931</v>
      </c>
      <c r="G17" s="1">
        <v>15.999999999880199</v>
      </c>
      <c r="H17" s="1"/>
      <c r="J17" t="s">
        <v>15</v>
      </c>
      <c r="K17" s="1">
        <v>15.999999999880199</v>
      </c>
      <c r="L17" s="1">
        <v>10.471139802246611</v>
      </c>
      <c r="M17" s="1">
        <v>6.1413856164803358</v>
      </c>
      <c r="N17" s="1">
        <v>3.1966659395150483</v>
      </c>
      <c r="O17" s="1">
        <v>2.6501378092880898</v>
      </c>
      <c r="P17" s="1">
        <v>15.999999999880199</v>
      </c>
      <c r="Q17" s="1"/>
      <c r="S17" t="s">
        <v>15</v>
      </c>
      <c r="T17" s="1">
        <v>7.51147954899404</v>
      </c>
      <c r="U17" s="1">
        <v>1.834977825889077</v>
      </c>
      <c r="V17" s="1">
        <v>6.1434139484109229</v>
      </c>
      <c r="W17" s="1">
        <v>3.1974579571083512</v>
      </c>
      <c r="X17" s="1">
        <v>2.6499421147323581</v>
      </c>
      <c r="Y17" s="1">
        <v>15.999999999880199</v>
      </c>
      <c r="Z17" s="1"/>
    </row>
    <row r="18" spans="1:26">
      <c r="A18" t="s">
        <v>86</v>
      </c>
      <c r="B18" s="1">
        <v>0.76477853739509027</v>
      </c>
      <c r="C18" s="1">
        <v>0.79753911295409141</v>
      </c>
      <c r="D18" s="1">
        <v>0.72277705424171057</v>
      </c>
      <c r="E18" s="1">
        <v>0.83574340620898546</v>
      </c>
      <c r="F18" s="1">
        <v>1.0706063303855105</v>
      </c>
      <c r="G18" s="1">
        <v>0.68809601684947108</v>
      </c>
      <c r="H18" s="1">
        <v>0.7533276666529708</v>
      </c>
      <c r="J18" t="s">
        <v>86</v>
      </c>
      <c r="K18" s="1">
        <v>1.0582177792669825</v>
      </c>
      <c r="L18" s="1">
        <v>1.1325748168062708</v>
      </c>
      <c r="M18" s="1">
        <v>0.97191780669087957</v>
      </c>
      <c r="N18" s="1">
        <v>1.232024032961367</v>
      </c>
      <c r="O18" s="1">
        <v>2.0898103053991801</v>
      </c>
      <c r="P18" s="1">
        <v>0.90647056932893144</v>
      </c>
      <c r="Q18" s="1">
        <v>15.999999999880199</v>
      </c>
      <c r="S18" t="s">
        <v>86</v>
      </c>
      <c r="T18" s="1">
        <v>0.94040594248717346</v>
      </c>
      <c r="U18" s="1">
        <v>1.0913862013787263</v>
      </c>
      <c r="V18" s="1">
        <v>0.87501150133326278</v>
      </c>
      <c r="W18" s="1">
        <v>1.0638985798504261</v>
      </c>
      <c r="X18" s="1">
        <v>1.6586866351160967</v>
      </c>
      <c r="Y18" s="1">
        <v>0.82337837447226625</v>
      </c>
      <c r="Z18" s="1">
        <v>15.999999999880199</v>
      </c>
    </row>
    <row r="21" spans="1:26">
      <c r="A21" t="s">
        <v>43</v>
      </c>
      <c r="B21" t="s">
        <v>49</v>
      </c>
      <c r="C21" t="s">
        <v>83</v>
      </c>
      <c r="D21" t="s">
        <v>50</v>
      </c>
      <c r="E21" t="s">
        <v>84</v>
      </c>
      <c r="F21" t="s">
        <v>85</v>
      </c>
      <c r="G21" t="s">
        <v>15</v>
      </c>
      <c r="H21" t="s">
        <v>86</v>
      </c>
      <c r="J21" t="s">
        <v>44</v>
      </c>
      <c r="K21" t="s">
        <v>49</v>
      </c>
      <c r="L21" t="s">
        <v>83</v>
      </c>
      <c r="M21" t="s">
        <v>50</v>
      </c>
      <c r="N21" t="s">
        <v>84</v>
      </c>
      <c r="O21" t="s">
        <v>85</v>
      </c>
      <c r="P21" t="s">
        <v>15</v>
      </c>
      <c r="Q21" t="s">
        <v>86</v>
      </c>
      <c r="S21" t="s">
        <v>45</v>
      </c>
      <c r="T21" t="s">
        <v>49</v>
      </c>
      <c r="U21" t="s">
        <v>83</v>
      </c>
      <c r="V21" t="s">
        <v>50</v>
      </c>
      <c r="W21" t="s">
        <v>84</v>
      </c>
      <c r="X21" t="s">
        <v>85</v>
      </c>
      <c r="Y21" t="s">
        <v>15</v>
      </c>
      <c r="Z21" t="s">
        <v>86</v>
      </c>
    </row>
    <row r="22" spans="1:26">
      <c r="A22" t="s">
        <v>49</v>
      </c>
      <c r="B22" s="1">
        <v>15.999999999880199</v>
      </c>
      <c r="C22" s="1"/>
      <c r="D22" s="1"/>
      <c r="E22" s="1"/>
      <c r="F22" s="1"/>
      <c r="G22" s="1"/>
      <c r="H22" s="1"/>
      <c r="J22" t="s">
        <v>49</v>
      </c>
      <c r="K22" s="1">
        <v>15.999999999880199</v>
      </c>
      <c r="L22" s="1"/>
      <c r="M22" s="1"/>
      <c r="N22" s="1"/>
      <c r="O22" s="1"/>
      <c r="P22" s="1"/>
      <c r="Q22" s="1"/>
      <c r="S22" t="s">
        <v>49</v>
      </c>
      <c r="T22" s="1">
        <v>15.999999999880199</v>
      </c>
      <c r="U22" s="1"/>
      <c r="V22" s="1"/>
      <c r="W22" s="1"/>
      <c r="X22" s="1"/>
      <c r="Y22" s="1"/>
      <c r="Z22" s="1"/>
    </row>
    <row r="23" spans="1:26">
      <c r="A23" t="s">
        <v>83</v>
      </c>
      <c r="B23" s="1">
        <v>10.348728869379892</v>
      </c>
      <c r="C23" s="1">
        <v>10.13783613990728</v>
      </c>
      <c r="D23" s="1"/>
      <c r="E23" s="1"/>
      <c r="F23" s="1"/>
      <c r="G23" s="1"/>
      <c r="H23" s="1"/>
      <c r="J23" t="s">
        <v>83</v>
      </c>
      <c r="K23" s="1">
        <v>11.075901912197718</v>
      </c>
      <c r="L23" s="1">
        <v>15.999999999880199</v>
      </c>
      <c r="M23" s="1"/>
      <c r="N23" s="1"/>
      <c r="O23" s="1"/>
      <c r="P23" s="1"/>
      <c r="Q23" s="1"/>
      <c r="S23" t="s">
        <v>83</v>
      </c>
      <c r="T23" s="1">
        <v>11.075890083234176</v>
      </c>
      <c r="U23" s="1">
        <v>15.999999999880199</v>
      </c>
      <c r="V23" s="1"/>
      <c r="W23" s="1"/>
      <c r="X23" s="1"/>
      <c r="Y23" s="1"/>
      <c r="Z23" s="1"/>
    </row>
    <row r="24" spans="1:26">
      <c r="A24" t="s">
        <v>50</v>
      </c>
      <c r="B24" s="1">
        <v>5.1478715152135672</v>
      </c>
      <c r="C24" s="1">
        <v>5.1753908082718487</v>
      </c>
      <c r="D24" s="1">
        <v>4.8014755323131073</v>
      </c>
      <c r="E24" s="1"/>
      <c r="F24" s="1"/>
      <c r="G24" s="1"/>
      <c r="H24" s="1"/>
      <c r="J24" t="s">
        <v>50</v>
      </c>
      <c r="K24" s="1">
        <v>6.1060243115382944</v>
      </c>
      <c r="L24" s="1">
        <v>5.9135556202420752</v>
      </c>
      <c r="M24" s="1">
        <v>15.999999999880199</v>
      </c>
      <c r="N24" s="1"/>
      <c r="O24" s="1"/>
      <c r="P24" s="1"/>
      <c r="Q24" s="1"/>
      <c r="S24" t="s">
        <v>50</v>
      </c>
      <c r="T24" s="1">
        <v>6.1060243115382944</v>
      </c>
      <c r="U24" s="1">
        <v>5.9135556202420752</v>
      </c>
      <c r="V24" s="1">
        <v>15.999999999880199</v>
      </c>
      <c r="W24" s="1"/>
      <c r="X24" s="1"/>
      <c r="Y24" s="1"/>
      <c r="Z24" s="1"/>
    </row>
    <row r="25" spans="1:26">
      <c r="A25" t="s">
        <v>84</v>
      </c>
      <c r="B25" s="1">
        <v>2.9755352303514755</v>
      </c>
      <c r="C25" s="1">
        <v>3.0912240119654428</v>
      </c>
      <c r="D25" s="1">
        <v>3.0001159500077685</v>
      </c>
      <c r="E25" s="1">
        <v>3.2080117436125613</v>
      </c>
      <c r="F25" s="1"/>
      <c r="G25" s="1"/>
      <c r="H25" s="1"/>
      <c r="J25" t="s">
        <v>84</v>
      </c>
      <c r="K25" s="1">
        <v>3.1258541607851846</v>
      </c>
      <c r="L25" s="1">
        <v>3.3002161416243827</v>
      </c>
      <c r="M25" s="1">
        <v>3.1660281459372759</v>
      </c>
      <c r="N25" s="1">
        <v>15.954589770071541</v>
      </c>
      <c r="O25" s="1"/>
      <c r="P25" s="1"/>
      <c r="Q25" s="1"/>
      <c r="S25" t="s">
        <v>84</v>
      </c>
      <c r="T25" s="1">
        <v>3.1258541607850567</v>
      </c>
      <c r="U25" s="1">
        <v>3.3002161416242277</v>
      </c>
      <c r="V25" s="1">
        <v>3.1660281459372759</v>
      </c>
      <c r="W25" s="1">
        <v>15.999999999880199</v>
      </c>
      <c r="X25" s="1"/>
      <c r="Y25" s="1"/>
      <c r="Z25" s="1"/>
    </row>
    <row r="26" spans="1:26">
      <c r="A26" t="s">
        <v>85</v>
      </c>
      <c r="B26" s="1">
        <v>2.8066054305112669</v>
      </c>
      <c r="C26" s="1">
        <v>2.8375992442486369</v>
      </c>
      <c r="D26" s="1">
        <v>2.744398815601222</v>
      </c>
      <c r="E26" s="1">
        <v>2.7693623170599424</v>
      </c>
      <c r="F26" s="1">
        <v>3.5135745106252303</v>
      </c>
      <c r="G26" s="1"/>
      <c r="H26" s="1"/>
      <c r="J26" t="s">
        <v>85</v>
      </c>
      <c r="K26" s="1">
        <v>2.8515460841750393</v>
      </c>
      <c r="L26" s="1">
        <v>2.8860511238334112</v>
      </c>
      <c r="M26" s="1">
        <v>2.7809961976589648</v>
      </c>
      <c r="N26" s="1">
        <v>2.8112374648447398</v>
      </c>
      <c r="O26" s="1">
        <v>15.954589770071541</v>
      </c>
      <c r="P26" s="1"/>
      <c r="Q26" s="1"/>
      <c r="S26" t="s">
        <v>85</v>
      </c>
      <c r="T26" s="1">
        <v>2.851546084175002</v>
      </c>
      <c r="U26" s="1">
        <v>2.8860511238334507</v>
      </c>
      <c r="V26" s="1">
        <v>2.7809961976589972</v>
      </c>
      <c r="W26" s="1">
        <v>2.8112374648446958</v>
      </c>
      <c r="X26" s="1">
        <v>15.999999999880199</v>
      </c>
      <c r="Y26" s="1"/>
      <c r="Z26" s="1"/>
    </row>
    <row r="27" spans="1:26">
      <c r="A27" t="s">
        <v>15</v>
      </c>
      <c r="B27" s="1">
        <v>15.999999999880199</v>
      </c>
      <c r="C27" s="1">
        <v>10.153674266008196</v>
      </c>
      <c r="D27" s="1">
        <v>5.0645057439872838</v>
      </c>
      <c r="E27" s="1">
        <v>3.024392209319128</v>
      </c>
      <c r="F27" s="1">
        <v>2.6213132150199931</v>
      </c>
      <c r="G27" s="1">
        <v>15.999999999880199</v>
      </c>
      <c r="H27" s="1"/>
      <c r="J27" t="s">
        <v>15</v>
      </c>
      <c r="K27" s="1">
        <v>15.999999999880199</v>
      </c>
      <c r="L27" s="1">
        <v>10.471139802246611</v>
      </c>
      <c r="M27" s="1">
        <v>6.1413856164803358</v>
      </c>
      <c r="N27" s="1">
        <v>3.1966659395150483</v>
      </c>
      <c r="O27" s="1">
        <v>2.6501378092880898</v>
      </c>
      <c r="P27" s="1">
        <v>15.999999999880199</v>
      </c>
      <c r="Q27" s="1"/>
      <c r="S27" t="s">
        <v>15</v>
      </c>
      <c r="T27" s="1">
        <v>15.999999999880199</v>
      </c>
      <c r="U27" s="1">
        <v>10.471139802246611</v>
      </c>
      <c r="V27" s="1">
        <v>6.1413856164803358</v>
      </c>
      <c r="W27" s="1">
        <v>3.1966659395150483</v>
      </c>
      <c r="X27" s="1">
        <v>2.6501378092880898</v>
      </c>
      <c r="Y27" s="1">
        <v>15.999999999880199</v>
      </c>
      <c r="Z27" s="1"/>
    </row>
    <row r="28" spans="1:26">
      <c r="A28" t="s">
        <v>86</v>
      </c>
      <c r="B28" s="1">
        <v>0.76477853739509027</v>
      </c>
      <c r="C28" s="1">
        <v>0.79753911295409141</v>
      </c>
      <c r="D28" s="1">
        <v>0.72277705424171057</v>
      </c>
      <c r="E28" s="1">
        <v>0.83574340620898546</v>
      </c>
      <c r="F28" s="1">
        <v>1.0706063303855105</v>
      </c>
      <c r="G28" s="1">
        <v>0.68809601684947108</v>
      </c>
      <c r="H28" s="1">
        <v>0.7533276666529708</v>
      </c>
      <c r="J28" t="s">
        <v>86</v>
      </c>
      <c r="K28" s="1">
        <v>1.0582177792669825</v>
      </c>
      <c r="L28" s="1">
        <v>1.1325748168062708</v>
      </c>
      <c r="M28" s="1">
        <v>0.97191780669087957</v>
      </c>
      <c r="N28" s="1">
        <v>1.232024032961367</v>
      </c>
      <c r="O28" s="1">
        <v>2.0898103053991801</v>
      </c>
      <c r="P28" s="1">
        <v>0.90647056932893144</v>
      </c>
      <c r="Q28" s="1">
        <v>15.999999999880199</v>
      </c>
      <c r="S28" t="s">
        <v>86</v>
      </c>
      <c r="T28" s="1">
        <v>1.0582177792669825</v>
      </c>
      <c r="U28" s="1">
        <v>1.1325748168062726</v>
      </c>
      <c r="V28" s="1">
        <v>0.97191780669087924</v>
      </c>
      <c r="W28" s="1">
        <v>1.232024032961367</v>
      </c>
      <c r="X28" s="1">
        <v>2.0898103053991801</v>
      </c>
      <c r="Y28" s="1">
        <v>0.90647056932893144</v>
      </c>
      <c r="Z28" s="1">
        <v>15.999999999880199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I40"/>
  <sheetViews>
    <sheetView workbookViewId="0">
      <selection activeCell="A22" sqref="A22"/>
    </sheetView>
  </sheetViews>
  <sheetFormatPr defaultRowHeight="12.75"/>
  <cols>
    <col min="1" max="1" width="9.28515625" bestFit="1" customWidth="1"/>
    <col min="2" max="2" width="11.5703125" bestFit="1" customWidth="1"/>
    <col min="3" max="3" width="10.140625" bestFit="1" customWidth="1"/>
    <col min="4" max="7" width="9.28515625" bestFit="1" customWidth="1"/>
    <col min="9" max="9" width="15" customWidth="1"/>
    <col min="10" max="10" width="15.28515625" customWidth="1"/>
    <col min="11" max="11" width="19.28515625" customWidth="1"/>
    <col min="12" max="12" width="17.85546875" customWidth="1"/>
    <col min="13" max="13" width="18.140625" customWidth="1"/>
    <col min="14" max="14" width="15.7109375" customWidth="1"/>
    <col min="15" max="15" width="17.5703125" customWidth="1"/>
    <col min="16" max="16" width="13.85546875" customWidth="1"/>
    <col min="17" max="17" width="16.140625" customWidth="1"/>
    <col min="18" max="18" width="17.85546875" customWidth="1"/>
    <col min="19" max="19" width="22.28515625" customWidth="1"/>
    <col min="20" max="20" width="17.42578125" customWidth="1"/>
  </cols>
  <sheetData>
    <row r="1" spans="1:35">
      <c r="A1" t="s">
        <v>82</v>
      </c>
      <c r="B1" t="s">
        <v>81</v>
      </c>
      <c r="C1" t="s">
        <v>80</v>
      </c>
      <c r="D1" t="s">
        <v>79</v>
      </c>
      <c r="E1" t="s">
        <v>78</v>
      </c>
      <c r="F1" t="s">
        <v>77</v>
      </c>
      <c r="G1" t="s">
        <v>76</v>
      </c>
      <c r="J1" s="5"/>
      <c r="K1" s="5" t="s">
        <v>17</v>
      </c>
      <c r="L1" s="5" t="s">
        <v>5</v>
      </c>
      <c r="M1" s="5" t="s">
        <v>18</v>
      </c>
      <c r="N1" s="5" t="s">
        <v>19</v>
      </c>
      <c r="O1" s="5" t="s">
        <v>20</v>
      </c>
      <c r="P1" s="5" t="s">
        <v>21</v>
      </c>
      <c r="Q1" s="5" t="s">
        <v>22</v>
      </c>
      <c r="R1" s="5" t="s">
        <v>23</v>
      </c>
      <c r="S1" s="8" t="s">
        <v>35</v>
      </c>
      <c r="T1" s="5" t="s">
        <v>36</v>
      </c>
      <c r="AA1" t="s">
        <v>0</v>
      </c>
    </row>
    <row r="2" spans="1:35" ht="13.5" thickBot="1">
      <c r="A2" s="1">
        <v>-4994</v>
      </c>
      <c r="B2" s="1">
        <v>-18.681249999999999</v>
      </c>
      <c r="C2" s="1">
        <v>-153409.4375</v>
      </c>
      <c r="D2" s="1">
        <v>-837.3125</v>
      </c>
      <c r="E2" s="1">
        <v>-1016.6875</v>
      </c>
      <c r="F2" s="1">
        <v>-9816</v>
      </c>
      <c r="G2" s="1">
        <v>-7.5</v>
      </c>
      <c r="I2" s="1">
        <f>-A39+K2</f>
        <v>-18537902478.308041</v>
      </c>
      <c r="J2" s="5" t="s">
        <v>11</v>
      </c>
      <c r="K2" s="5">
        <v>-18527902478.308041</v>
      </c>
      <c r="L2" s="5">
        <v>5055027463.106226</v>
      </c>
      <c r="M2" s="5">
        <v>-3.6652426942351304</v>
      </c>
      <c r="N2" s="5">
        <v>5.1930584478964929E-3</v>
      </c>
      <c r="O2" s="5">
        <v>-29963177777.389938</v>
      </c>
      <c r="P2" s="5">
        <v>-7092627179.2261429</v>
      </c>
      <c r="Q2" s="5">
        <v>-29963177777.389938</v>
      </c>
      <c r="R2" s="5">
        <v>-7092627179.2261429</v>
      </c>
      <c r="S2" s="6"/>
      <c r="T2" s="5"/>
    </row>
    <row r="3" spans="1:35">
      <c r="A3" s="1">
        <v>-4195</v>
      </c>
      <c r="B3" s="1">
        <v>-13.18125</v>
      </c>
      <c r="C3" s="1">
        <v>-128272.4375</v>
      </c>
      <c r="D3" s="1">
        <v>-868.3125</v>
      </c>
      <c r="E3" s="1">
        <v>-1150.6875</v>
      </c>
      <c r="F3" s="1">
        <v>-8792</v>
      </c>
      <c r="G3" s="1">
        <v>-6.5</v>
      </c>
      <c r="I3">
        <f>B39*K3</f>
        <v>595172740.83183503</v>
      </c>
      <c r="J3" s="5" t="s">
        <v>24</v>
      </c>
      <c r="K3" s="5">
        <v>59.517274083183494</v>
      </c>
      <c r="L3" s="5">
        <v>92.875915654246853</v>
      </c>
      <c r="M3" s="5">
        <v>0.64082570453195853</v>
      </c>
      <c r="N3" s="5">
        <v>0.53760923552636397</v>
      </c>
      <c r="O3" s="5">
        <v>-150.58280389107233</v>
      </c>
      <c r="P3" s="5">
        <v>269.61735205743935</v>
      </c>
      <c r="Q3" s="5">
        <v>-150.58280389107233</v>
      </c>
      <c r="R3" s="5">
        <v>269.61735205743935</v>
      </c>
      <c r="S3" s="6">
        <v>15.0618722713733</v>
      </c>
      <c r="T3" s="7" t="e">
        <f ca="1">[1]!NewLRE(K3,S3)</f>
        <v>#NAME?</v>
      </c>
      <c r="AA3" s="28" t="s">
        <v>1</v>
      </c>
      <c r="AB3" s="28"/>
    </row>
    <row r="4" spans="1:35">
      <c r="A4" s="1">
        <v>-5146</v>
      </c>
      <c r="B4" s="1">
        <v>-13.481249999999999</v>
      </c>
      <c r="C4" s="1">
        <v>-129644.4375</v>
      </c>
      <c r="D4" s="1">
        <v>488.6875</v>
      </c>
      <c r="E4" s="1">
        <v>-990.6875</v>
      </c>
      <c r="F4" s="1">
        <v>-7651</v>
      </c>
      <c r="G4" s="1">
        <v>-5.5</v>
      </c>
      <c r="I4" s="1">
        <f>C39+K4</f>
        <v>9999999.9567417018</v>
      </c>
      <c r="J4" s="5" t="s">
        <v>25</v>
      </c>
      <c r="K4" s="5">
        <v>-4.3258297726337915E-2</v>
      </c>
      <c r="L4" s="5">
        <v>3.7072684110512621E-2</v>
      </c>
      <c r="M4" s="5">
        <v>-1.1668509784019456</v>
      </c>
      <c r="N4" s="5">
        <v>0.27325638786923034</v>
      </c>
      <c r="O4" s="5">
        <v>-0.12712259954738273</v>
      </c>
      <c r="P4" s="5">
        <v>4.0606004094706889E-2</v>
      </c>
      <c r="Q4" s="5">
        <v>-0.12712259954738273</v>
      </c>
      <c r="R4" s="5">
        <v>4.0606004094706889E-2</v>
      </c>
      <c r="S4" s="6">
        <v>-3.5819179292591E-2</v>
      </c>
      <c r="T4" s="7" t="e">
        <f ca="1">[1]!NewLRE(K4,S4)</f>
        <v>#NAME?</v>
      </c>
      <c r="AA4" s="25" t="s">
        <v>2</v>
      </c>
      <c r="AB4" s="25">
        <v>0.99766065924962599</v>
      </c>
    </row>
    <row r="5" spans="1:35">
      <c r="A5" s="1">
        <v>-4130</v>
      </c>
      <c r="B5" s="1">
        <v>-12.18125</v>
      </c>
      <c r="C5" s="1">
        <v>-103099.4375</v>
      </c>
      <c r="D5" s="1">
        <v>157.6875</v>
      </c>
      <c r="E5" s="1">
        <v>-956.6875</v>
      </c>
      <c r="F5" s="1">
        <v>-6495</v>
      </c>
      <c r="G5" s="1">
        <v>-4.5</v>
      </c>
      <c r="I5" s="1">
        <f>D39+K5</f>
        <v>9999997.8987942915</v>
      </c>
      <c r="J5" s="5" t="s">
        <v>26</v>
      </c>
      <c r="K5" s="5">
        <v>-2.1012057091330569</v>
      </c>
      <c r="L5" s="5">
        <v>0.53270649527406111</v>
      </c>
      <c r="M5" s="5">
        <v>-3.944396638250208</v>
      </c>
      <c r="N5" s="5">
        <v>3.3833270781117382E-3</v>
      </c>
      <c r="O5" s="5">
        <v>-3.3062724415153077</v>
      </c>
      <c r="P5" s="5">
        <v>-0.89613897675080612</v>
      </c>
      <c r="Q5" s="5">
        <v>-3.3062724415153077</v>
      </c>
      <c r="R5" s="5">
        <v>-0.89613897675080612</v>
      </c>
      <c r="S5" s="6">
        <v>-2.02022980381683</v>
      </c>
      <c r="T5" s="7" t="e">
        <f ca="1">[1]!NewLRE(K5,S5)</f>
        <v>#NAME?</v>
      </c>
      <c r="AA5" s="25" t="s">
        <v>3</v>
      </c>
      <c r="AB5" s="25">
        <v>0.99532679101439836</v>
      </c>
    </row>
    <row r="6" spans="1:35">
      <c r="A6" s="1">
        <v>-2096</v>
      </c>
      <c r="B6" s="1">
        <v>-5.4812500000000002</v>
      </c>
      <c r="C6" s="1">
        <v>-58723.4375</v>
      </c>
      <c r="D6" s="1">
        <v>-1094.3125</v>
      </c>
      <c r="E6" s="1">
        <v>492.3125</v>
      </c>
      <c r="F6" s="1">
        <v>-5349</v>
      </c>
      <c r="G6" s="1">
        <v>-3.5</v>
      </c>
      <c r="I6" s="1">
        <f>E39+K6</f>
        <v>9999998.9455900863</v>
      </c>
      <c r="J6" s="5" t="s">
        <v>27</v>
      </c>
      <c r="K6" s="5">
        <v>-1.0544099129810416</v>
      </c>
      <c r="L6" s="5">
        <v>0.22446158779495082</v>
      </c>
      <c r="M6" s="5">
        <v>-4.6975071473888956</v>
      </c>
      <c r="N6" s="5">
        <v>1.1241107119841489E-3</v>
      </c>
      <c r="O6" s="5">
        <v>-1.5621776885743046</v>
      </c>
      <c r="P6" s="5">
        <v>-0.54664213738777856</v>
      </c>
      <c r="Q6" s="5">
        <v>-1.5621776885743046</v>
      </c>
      <c r="R6" s="5">
        <v>-0.54664213738777856</v>
      </c>
      <c r="S6" s="6">
        <v>-1.03322686717359</v>
      </c>
      <c r="T6" s="7" t="e">
        <f ca="1">[1]!NewLRE(K6,S6)</f>
        <v>#NAME?</v>
      </c>
      <c r="AA6" s="25" t="s">
        <v>4</v>
      </c>
      <c r="AB6" s="25">
        <v>0.99221131835733045</v>
      </c>
    </row>
    <row r="7" spans="1:35">
      <c r="A7" s="1">
        <v>-1678</v>
      </c>
      <c r="B7" s="1">
        <v>-3.5812500000000114</v>
      </c>
      <c r="C7" s="1">
        <v>-40699.4375</v>
      </c>
      <c r="D7" s="1">
        <v>-1261.3125</v>
      </c>
      <c r="E7" s="1">
        <v>987.3125</v>
      </c>
      <c r="F7" s="1">
        <v>-4154</v>
      </c>
      <c r="G7" s="1">
        <v>-2.5</v>
      </c>
      <c r="I7" s="1">
        <f>F39+K7</f>
        <v>10000000.016518492</v>
      </c>
      <c r="J7" s="5" t="s">
        <v>28</v>
      </c>
      <c r="K7" s="5">
        <v>1.6518492781405502E-2</v>
      </c>
      <c r="L7" s="5">
        <v>0.24339394152090746</v>
      </c>
      <c r="M7" s="5">
        <v>6.7867312876341943E-2</v>
      </c>
      <c r="N7" s="5">
        <v>0.94737511061392043</v>
      </c>
      <c r="O7" s="5">
        <v>-0.53407727504256242</v>
      </c>
      <c r="P7" s="5">
        <v>0.5671142606053734</v>
      </c>
      <c r="Q7" s="5">
        <v>-0.53407727504256242</v>
      </c>
      <c r="R7" s="5">
        <v>0.5671142606053734</v>
      </c>
      <c r="S7" s="6">
        <v>-5.11041056535807E-2</v>
      </c>
      <c r="T7" s="7" t="e">
        <f ca="1">[1]!NewLRE(K7,S7)</f>
        <v>#NAME?</v>
      </c>
      <c r="AA7" s="25" t="s">
        <v>5</v>
      </c>
      <c r="AB7" s="25">
        <v>309.94352676985653</v>
      </c>
    </row>
    <row r="8" spans="1:35" ht="13.5" thickBot="1">
      <c r="A8" s="1">
        <v>-328</v>
      </c>
      <c r="B8" s="1">
        <v>-2.6812500000000057</v>
      </c>
      <c r="C8" s="1">
        <v>-22313.4375</v>
      </c>
      <c r="D8" s="1">
        <v>-1323.3125</v>
      </c>
      <c r="E8" s="1">
        <v>940.3125</v>
      </c>
      <c r="F8" s="1">
        <v>-2330</v>
      </c>
      <c r="G8" s="1">
        <v>-1.5</v>
      </c>
      <c r="I8" s="1">
        <f>G39+K8</f>
        <v>10001797.455329174</v>
      </c>
      <c r="J8" s="5" t="s">
        <v>29</v>
      </c>
      <c r="K8" s="5">
        <v>1797.4553291746797</v>
      </c>
      <c r="L8" s="5">
        <v>466.56261552993459</v>
      </c>
      <c r="M8" s="5">
        <v>3.8525489813046438</v>
      </c>
      <c r="N8" s="5">
        <v>3.8911219130596639E-3</v>
      </c>
      <c r="O8" s="5">
        <v>742.01656216824404</v>
      </c>
      <c r="P8" s="5">
        <v>2852.8940961811154</v>
      </c>
      <c r="Q8" s="5">
        <v>742.01656216824404</v>
      </c>
      <c r="R8" s="5">
        <v>2852.8940961811154</v>
      </c>
      <c r="S8" s="6">
        <v>1829.1514646135499</v>
      </c>
      <c r="T8" s="7" t="e">
        <f ca="1">[1]!NewLRE(K8,S8)</f>
        <v>#NAME?</v>
      </c>
      <c r="AA8" s="26" t="s">
        <v>6</v>
      </c>
      <c r="AB8" s="26">
        <v>16</v>
      </c>
    </row>
    <row r="9" spans="1:35">
      <c r="A9" s="1">
        <v>-1556</v>
      </c>
      <c r="B9" s="1">
        <v>-1.6812500000000057</v>
      </c>
      <c r="C9" s="1">
        <v>-24586.4375</v>
      </c>
      <c r="D9" s="1">
        <v>384.6875</v>
      </c>
      <c r="E9" s="1">
        <v>743.3125</v>
      </c>
      <c r="F9" s="1">
        <v>-1205</v>
      </c>
      <c r="G9" s="1">
        <v>-0.5</v>
      </c>
      <c r="I9" s="1">
        <f>SUM(I2:I8)</f>
        <v>-17892727943.203228</v>
      </c>
      <c r="J9" s="5" t="s">
        <v>34</v>
      </c>
      <c r="K9" s="1">
        <f>I9</f>
        <v>-17892727943.203228</v>
      </c>
      <c r="S9" s="6">
        <v>-3482258.6345958202</v>
      </c>
      <c r="T9" s="7" t="e">
        <f ca="1">[1]!NewLRE(K9,S9)</f>
        <v>#NAME?</v>
      </c>
    </row>
    <row r="10" spans="1:35" ht="13.5" thickBot="1">
      <c r="A10" s="1">
        <v>702</v>
      </c>
      <c r="B10" s="1">
        <v>-0.48125000000000284</v>
      </c>
      <c r="C10" s="1">
        <v>9770.5625</v>
      </c>
      <c r="D10" s="1">
        <v>-289.3125</v>
      </c>
      <c r="E10" s="1">
        <v>441.3125</v>
      </c>
      <c r="F10" s="1">
        <v>-36</v>
      </c>
      <c r="G10" s="1">
        <v>0.5</v>
      </c>
      <c r="AA10" t="s">
        <v>7</v>
      </c>
    </row>
    <row r="11" spans="1:35">
      <c r="A11" s="1">
        <v>2540</v>
      </c>
      <c r="B11" s="1">
        <v>2.9187499999999886</v>
      </c>
      <c r="C11" s="1">
        <v>31481.5625</v>
      </c>
      <c r="D11" s="1">
        <v>-371.3125</v>
      </c>
      <c r="E11" s="1">
        <v>250.3125</v>
      </c>
      <c r="F11" s="1">
        <v>1310</v>
      </c>
      <c r="G11" s="1">
        <v>1.5</v>
      </c>
      <c r="AA11" s="27"/>
      <c r="AB11" s="27" t="s">
        <v>12</v>
      </c>
      <c r="AC11" s="27" t="s">
        <v>13</v>
      </c>
      <c r="AD11" s="27" t="s">
        <v>14</v>
      </c>
      <c r="AE11" s="27" t="s">
        <v>15</v>
      </c>
      <c r="AF11" s="27" t="s">
        <v>16</v>
      </c>
    </row>
    <row r="12" spans="1:35">
      <c r="A12" s="1">
        <v>2852</v>
      </c>
      <c r="B12" s="1">
        <v>6.71875</v>
      </c>
      <c r="C12" s="1">
        <v>55070.5625</v>
      </c>
      <c r="D12" s="1">
        <v>-257.3125</v>
      </c>
      <c r="E12" s="1">
        <v>191.3125</v>
      </c>
      <c r="F12" s="1">
        <v>3021</v>
      </c>
      <c r="G12" s="1">
        <v>2.5</v>
      </c>
      <c r="AA12" s="25" t="s">
        <v>8</v>
      </c>
      <c r="AB12" s="25">
        <v>6</v>
      </c>
      <c r="AC12" s="25">
        <v>184144241.09192118</v>
      </c>
      <c r="AD12" s="25">
        <v>30690706.848653529</v>
      </c>
      <c r="AE12" s="25">
        <v>319.47858337205321</v>
      </c>
      <c r="AF12" s="25">
        <v>5.7834533619465764E-10</v>
      </c>
    </row>
    <row r="13" spans="1:35">
      <c r="A13" s="1">
        <v>1196</v>
      </c>
      <c r="B13" s="1">
        <v>9.1187499999999915</v>
      </c>
      <c r="C13" s="1">
        <v>56847.5625</v>
      </c>
      <c r="D13" s="1">
        <v>1487.6875</v>
      </c>
      <c r="E13" s="1">
        <v>30.3125</v>
      </c>
      <c r="F13" s="1">
        <v>4526</v>
      </c>
      <c r="G13" s="1">
        <v>3.5</v>
      </c>
      <c r="AA13" s="25" t="s">
        <v>9</v>
      </c>
      <c r="AB13" s="25">
        <v>9</v>
      </c>
      <c r="AC13" s="25">
        <v>864584.90807883104</v>
      </c>
      <c r="AD13" s="25">
        <v>96064.989786536782</v>
      </c>
      <c r="AE13" s="25"/>
      <c r="AF13" s="25"/>
    </row>
    <row r="14" spans="1:35" ht="13.5" thickBot="1">
      <c r="A14" s="1">
        <v>3338</v>
      </c>
      <c r="B14" s="1">
        <v>10.918749999999999</v>
      </c>
      <c r="C14" s="1">
        <v>95005.5625</v>
      </c>
      <c r="D14" s="1">
        <v>619.6875</v>
      </c>
      <c r="E14" s="1">
        <v>-54.6875</v>
      </c>
      <c r="F14" s="1">
        <v>5942</v>
      </c>
      <c r="G14" s="1">
        <v>4.5</v>
      </c>
      <c r="AA14" s="26" t="s">
        <v>10</v>
      </c>
      <c r="AB14" s="26">
        <v>15</v>
      </c>
      <c r="AC14" s="26">
        <v>185008826</v>
      </c>
      <c r="AD14" s="26"/>
      <c r="AE14" s="26"/>
      <c r="AF14" s="26"/>
    </row>
    <row r="15" spans="1:35" ht="13.5" thickBot="1">
      <c r="A15" s="1">
        <v>4247</v>
      </c>
      <c r="B15" s="1">
        <v>12.518750000000001</v>
      </c>
      <c r="C15" s="1">
        <v>114902.5625</v>
      </c>
      <c r="D15" s="1">
        <v>737.6875</v>
      </c>
      <c r="E15" s="1">
        <v>-92.6875</v>
      </c>
      <c r="F15" s="1">
        <v>7944</v>
      </c>
      <c r="G15" s="1">
        <v>5.5</v>
      </c>
    </row>
    <row r="16" spans="1:35">
      <c r="A16" s="1">
        <v>4014</v>
      </c>
      <c r="B16" s="1">
        <v>14.018750000000001</v>
      </c>
      <c r="C16" s="1">
        <v>130474.5625</v>
      </c>
      <c r="D16" s="1">
        <v>1612.6875</v>
      </c>
      <c r="E16" s="1">
        <v>-34.6875</v>
      </c>
      <c r="F16" s="1">
        <v>10428</v>
      </c>
      <c r="G16" s="1">
        <v>6.5</v>
      </c>
      <c r="AA16" s="27"/>
      <c r="AB16" s="27" t="s">
        <v>17</v>
      </c>
      <c r="AC16" s="27" t="s">
        <v>5</v>
      </c>
      <c r="AD16" s="27" t="s">
        <v>18</v>
      </c>
      <c r="AE16" s="27" t="s">
        <v>19</v>
      </c>
      <c r="AF16" s="27" t="s">
        <v>20</v>
      </c>
      <c r="AG16" s="27" t="s">
        <v>21</v>
      </c>
      <c r="AH16" s="27" t="s">
        <v>22</v>
      </c>
      <c r="AI16" s="27" t="s">
        <v>23</v>
      </c>
    </row>
    <row r="17" spans="1:35">
      <c r="A17" s="1">
        <v>5234</v>
      </c>
      <c r="B17" s="1">
        <v>15.21875</v>
      </c>
      <c r="C17" s="1">
        <v>167195.5625</v>
      </c>
      <c r="D17" s="1">
        <v>813.6875</v>
      </c>
      <c r="E17" s="1">
        <v>220.3125</v>
      </c>
      <c r="F17" s="1">
        <v>12657</v>
      </c>
      <c r="G17" s="1">
        <v>7.5</v>
      </c>
      <c r="AA17" s="25" t="s">
        <v>11</v>
      </c>
      <c r="AB17" s="25">
        <v>-18527902478.308041</v>
      </c>
      <c r="AC17" s="25">
        <v>5055027463.106226</v>
      </c>
      <c r="AD17" s="25">
        <v>-3.6652426942351304</v>
      </c>
      <c r="AE17" s="25">
        <v>5.1930584478964929E-3</v>
      </c>
      <c r="AF17" s="25">
        <v>-29963177777.389938</v>
      </c>
      <c r="AG17" s="25">
        <v>-7092627179.2261429</v>
      </c>
      <c r="AH17" s="25">
        <v>-29963177777.389938</v>
      </c>
      <c r="AI17" s="25">
        <v>-7092627179.2261429</v>
      </c>
    </row>
    <row r="18" spans="1:35">
      <c r="AA18" s="25" t="s">
        <v>24</v>
      </c>
      <c r="AB18" s="25">
        <v>59.517274083183494</v>
      </c>
      <c r="AC18" s="25">
        <v>92.875915654246853</v>
      </c>
      <c r="AD18" s="25">
        <v>0.64082570453195853</v>
      </c>
      <c r="AE18" s="25">
        <v>0.53760923552636397</v>
      </c>
      <c r="AF18" s="25">
        <v>-150.58280389107233</v>
      </c>
      <c r="AG18" s="25">
        <v>269.61735205743935</v>
      </c>
      <c r="AH18" s="25">
        <v>-150.58280389107233</v>
      </c>
      <c r="AI18" s="25">
        <v>269.61735205743935</v>
      </c>
    </row>
    <row r="19" spans="1:35">
      <c r="AA19" s="25" t="s">
        <v>25</v>
      </c>
      <c r="AB19" s="25">
        <v>-4.3258297726337915E-2</v>
      </c>
      <c r="AC19" s="25">
        <v>3.7072684110512621E-2</v>
      </c>
      <c r="AD19" s="25">
        <v>-1.1668509784019456</v>
      </c>
      <c r="AE19" s="25">
        <v>0.27325638786923034</v>
      </c>
      <c r="AF19" s="25">
        <v>-0.12712259954738273</v>
      </c>
      <c r="AG19" s="25">
        <v>4.0606004094706889E-2</v>
      </c>
      <c r="AH19" s="25">
        <v>-0.12712259954738273</v>
      </c>
      <c r="AI19" s="25">
        <v>4.0606004094706889E-2</v>
      </c>
    </row>
    <row r="20" spans="1:35">
      <c r="A20" t="s">
        <v>89</v>
      </c>
      <c r="B20" s="1">
        <v>10000000</v>
      </c>
      <c r="AA20" s="25" t="s">
        <v>26</v>
      </c>
      <c r="AB20" s="25">
        <v>-2.1012057091330569</v>
      </c>
      <c r="AC20" s="25">
        <v>0.53270649527406111</v>
      </c>
      <c r="AD20" s="25">
        <v>-3.944396638250208</v>
      </c>
      <c r="AE20" s="25">
        <v>3.3833270781117382E-3</v>
      </c>
      <c r="AF20" s="25">
        <v>-3.3062724415153077</v>
      </c>
      <c r="AG20" s="25">
        <v>-0.89613897675080612</v>
      </c>
      <c r="AH20" s="25">
        <v>-3.3062724415153077</v>
      </c>
      <c r="AI20" s="25">
        <v>-0.89613897675080612</v>
      </c>
    </row>
    <row r="21" spans="1:35">
      <c r="AA21" s="25" t="s">
        <v>27</v>
      </c>
      <c r="AB21" s="25">
        <v>-1.0544099129810416</v>
      </c>
      <c r="AC21" s="25">
        <v>0.22446158779495082</v>
      </c>
      <c r="AD21" s="25">
        <v>-4.6975071473888956</v>
      </c>
      <c r="AE21" s="25">
        <v>1.1241107119841489E-3</v>
      </c>
      <c r="AF21" s="25">
        <v>-1.5621776885743046</v>
      </c>
      <c r="AG21" s="25">
        <v>-0.54664213738777856</v>
      </c>
      <c r="AH21" s="25">
        <v>-1.5621776885743046</v>
      </c>
      <c r="AI21" s="25">
        <v>-0.54664213738777856</v>
      </c>
    </row>
    <row r="22" spans="1:35">
      <c r="A22" s="1">
        <f t="shared" ref="A22:A33" si="0">A2+$B$20</f>
        <v>9995006</v>
      </c>
      <c r="B22" s="1">
        <f t="shared" ref="B22:G22" si="1">B2+$B$20</f>
        <v>9999981.3187499996</v>
      </c>
      <c r="C22" s="1">
        <f t="shared" si="1"/>
        <v>9846590.5625</v>
      </c>
      <c r="D22" s="1">
        <f t="shared" si="1"/>
        <v>9999162.6875</v>
      </c>
      <c r="E22" s="1">
        <f t="shared" si="1"/>
        <v>9998983.3125</v>
      </c>
      <c r="F22" s="1">
        <f t="shared" si="1"/>
        <v>9990184</v>
      </c>
      <c r="G22" s="1">
        <f t="shared" si="1"/>
        <v>9999992.5</v>
      </c>
      <c r="AA22" s="25" t="s">
        <v>28</v>
      </c>
      <c r="AB22" s="25">
        <v>1.6518492781405502E-2</v>
      </c>
      <c r="AC22" s="25">
        <v>0.24339394152090746</v>
      </c>
      <c r="AD22" s="25">
        <v>6.7867312876341943E-2</v>
      </c>
      <c r="AE22" s="25">
        <v>0.94737511061392043</v>
      </c>
      <c r="AF22" s="25">
        <v>-0.53407727504256242</v>
      </c>
      <c r="AG22" s="25">
        <v>0.5671142606053734</v>
      </c>
      <c r="AH22" s="25">
        <v>-0.53407727504256242</v>
      </c>
      <c r="AI22" s="25">
        <v>0.5671142606053734</v>
      </c>
    </row>
    <row r="23" spans="1:35" ht="13.5" thickBot="1">
      <c r="A23" s="1">
        <f t="shared" si="0"/>
        <v>9995805</v>
      </c>
      <c r="B23" s="1">
        <f t="shared" ref="B23:G33" si="2">B3+$B$20</f>
        <v>9999986.8187499996</v>
      </c>
      <c r="C23" s="1">
        <f t="shared" si="2"/>
        <v>9871727.5625</v>
      </c>
      <c r="D23" s="1">
        <f t="shared" si="2"/>
        <v>9999131.6875</v>
      </c>
      <c r="E23" s="1">
        <f t="shared" si="2"/>
        <v>9998849.3125</v>
      </c>
      <c r="F23" s="1">
        <f t="shared" si="2"/>
        <v>9991208</v>
      </c>
      <c r="G23" s="1">
        <f t="shared" si="2"/>
        <v>9999993.5</v>
      </c>
      <c r="AA23" s="26" t="s">
        <v>29</v>
      </c>
      <c r="AB23" s="26">
        <v>1797.4553291746797</v>
      </c>
      <c r="AC23" s="26">
        <v>466.56261552993459</v>
      </c>
      <c r="AD23" s="26">
        <v>3.8525489813046438</v>
      </c>
      <c r="AE23" s="26">
        <v>3.8911219130596639E-3</v>
      </c>
      <c r="AF23" s="26">
        <v>742.01656216824404</v>
      </c>
      <c r="AG23" s="26">
        <v>2852.8940961811154</v>
      </c>
      <c r="AH23" s="26">
        <v>742.01656216824404</v>
      </c>
      <c r="AI23" s="26">
        <v>2852.8940961811154</v>
      </c>
    </row>
    <row r="24" spans="1:35">
      <c r="A24" s="1">
        <f t="shared" si="0"/>
        <v>9994854</v>
      </c>
      <c r="B24" s="1">
        <f t="shared" si="2"/>
        <v>9999986.5187500007</v>
      </c>
      <c r="C24" s="1">
        <f t="shared" si="2"/>
        <v>9870355.5625</v>
      </c>
      <c r="D24" s="1">
        <f t="shared" si="2"/>
        <v>10000488.6875</v>
      </c>
      <c r="E24" s="1">
        <f t="shared" si="2"/>
        <v>9999009.3125</v>
      </c>
      <c r="F24" s="1">
        <f t="shared" si="2"/>
        <v>9992349</v>
      </c>
      <c r="G24" s="1">
        <f t="shared" si="2"/>
        <v>9999994.5</v>
      </c>
    </row>
    <row r="25" spans="1:35">
      <c r="A25" s="1">
        <f t="shared" si="0"/>
        <v>9995870</v>
      </c>
      <c r="B25" s="1">
        <f t="shared" si="2"/>
        <v>9999987.8187499996</v>
      </c>
      <c r="C25" s="1">
        <f t="shared" si="2"/>
        <v>9896900.5625</v>
      </c>
      <c r="D25" s="1">
        <f t="shared" si="2"/>
        <v>10000157.6875</v>
      </c>
      <c r="E25" s="1">
        <f t="shared" si="2"/>
        <v>9999043.3125</v>
      </c>
      <c r="F25" s="1">
        <f t="shared" si="2"/>
        <v>9993505</v>
      </c>
      <c r="G25" s="1">
        <f t="shared" si="2"/>
        <v>9999995.5</v>
      </c>
    </row>
    <row r="26" spans="1:35">
      <c r="A26" s="1">
        <f t="shared" si="0"/>
        <v>9997904</v>
      </c>
      <c r="B26" s="1">
        <f t="shared" si="2"/>
        <v>9999994.5187500007</v>
      </c>
      <c r="C26" s="1">
        <f t="shared" si="2"/>
        <v>9941276.5625</v>
      </c>
      <c r="D26" s="1">
        <f t="shared" si="2"/>
        <v>9998905.6875</v>
      </c>
      <c r="E26" s="1">
        <f t="shared" si="2"/>
        <v>10000492.3125</v>
      </c>
      <c r="F26" s="1">
        <f t="shared" si="2"/>
        <v>9994651</v>
      </c>
      <c r="G26" s="1">
        <f t="shared" si="2"/>
        <v>9999996.5</v>
      </c>
      <c r="J26">
        <f t="array" ref="J26:O31">MMULT(TRANSPOSE(B22:G37), B22:G37)</f>
        <v>1600000000001746.7</v>
      </c>
      <c r="K26">
        <v>1600000015954061.7</v>
      </c>
      <c r="L26">
        <v>1600000000093879.7</v>
      </c>
      <c r="M26">
        <v>1600000000052354</v>
      </c>
      <c r="N26">
        <v>1600000001102545</v>
      </c>
      <c r="O26">
        <v>1600000000000763.7</v>
      </c>
    </row>
    <row r="27" spans="1:35">
      <c r="A27" s="1">
        <f t="shared" si="0"/>
        <v>9998322</v>
      </c>
      <c r="B27" s="1">
        <f t="shared" si="2"/>
        <v>9999996.4187499993</v>
      </c>
      <c r="C27" s="1">
        <f t="shared" si="2"/>
        <v>9959300.5625</v>
      </c>
      <c r="D27" s="1">
        <f t="shared" si="2"/>
        <v>9998738.6875</v>
      </c>
      <c r="E27" s="1">
        <f t="shared" si="2"/>
        <v>10000987.3125</v>
      </c>
      <c r="F27" s="1">
        <f t="shared" si="2"/>
        <v>9995846</v>
      </c>
      <c r="G27" s="1">
        <f t="shared" si="2"/>
        <v>9999997.5</v>
      </c>
      <c r="J27">
        <v>1600000015954061.7</v>
      </c>
      <c r="K27">
        <v>1600148190304890</v>
      </c>
      <c r="L27">
        <v>1600000841865547.7</v>
      </c>
      <c r="M27">
        <v>1600000463206424.7</v>
      </c>
      <c r="N27">
        <v>1600010278614169.2</v>
      </c>
      <c r="O27">
        <v>1600000007064668.5</v>
      </c>
    </row>
    <row r="28" spans="1:35">
      <c r="A28" s="1">
        <f t="shared" si="0"/>
        <v>9999672</v>
      </c>
      <c r="B28" s="1">
        <f t="shared" si="2"/>
        <v>9999997.3187499996</v>
      </c>
      <c r="C28" s="1">
        <f t="shared" si="2"/>
        <v>9977686.5625</v>
      </c>
      <c r="D28" s="1">
        <f t="shared" si="2"/>
        <v>9998676.6875</v>
      </c>
      <c r="E28" s="1">
        <f t="shared" si="2"/>
        <v>10000940.3125</v>
      </c>
      <c r="F28" s="1">
        <f t="shared" si="2"/>
        <v>9997670</v>
      </c>
      <c r="G28" s="1">
        <f t="shared" si="2"/>
        <v>9999998.5</v>
      </c>
      <c r="J28">
        <v>1600000000093879.7</v>
      </c>
      <c r="K28">
        <v>1600000841865547.7</v>
      </c>
      <c r="L28">
        <v>1600000013098351.2</v>
      </c>
      <c r="M28">
        <v>1599999998269318.5</v>
      </c>
      <c r="N28">
        <v>1600000066941123</v>
      </c>
      <c r="O28">
        <v>1600000000044595.5</v>
      </c>
    </row>
    <row r="29" spans="1:35">
      <c r="A29" s="1">
        <f t="shared" si="0"/>
        <v>9998444</v>
      </c>
      <c r="B29" s="1">
        <f t="shared" si="2"/>
        <v>9999998.3187499996</v>
      </c>
      <c r="C29" s="1">
        <f t="shared" si="2"/>
        <v>9975413.5625</v>
      </c>
      <c r="D29" s="1">
        <f t="shared" si="2"/>
        <v>10000384.6875</v>
      </c>
      <c r="E29" s="1">
        <f t="shared" si="2"/>
        <v>10000743.3125</v>
      </c>
      <c r="F29" s="1">
        <f t="shared" si="2"/>
        <v>9998795</v>
      </c>
      <c r="G29" s="1">
        <f t="shared" si="2"/>
        <v>9999999.5</v>
      </c>
      <c r="J29">
        <v>1600000000052354</v>
      </c>
      <c r="K29">
        <v>1600000463206424.7</v>
      </c>
      <c r="L29">
        <v>1599999998269318.5</v>
      </c>
      <c r="M29">
        <v>1600000007264561.5</v>
      </c>
      <c r="N29">
        <v>1600000026461472</v>
      </c>
      <c r="O29">
        <v>1600000000020736.5</v>
      </c>
    </row>
    <row r="30" spans="1:35">
      <c r="A30" s="1">
        <f t="shared" si="0"/>
        <v>10000702</v>
      </c>
      <c r="B30" s="1">
        <f t="shared" si="2"/>
        <v>9999999.5187500007</v>
      </c>
      <c r="C30" s="1">
        <f t="shared" si="2"/>
        <v>10009770.5625</v>
      </c>
      <c r="D30" s="1">
        <f t="shared" si="2"/>
        <v>9999710.6875</v>
      </c>
      <c r="E30" s="1">
        <f t="shared" si="2"/>
        <v>10000441.3125</v>
      </c>
      <c r="F30" s="1">
        <f t="shared" si="2"/>
        <v>9999964</v>
      </c>
      <c r="G30" s="1">
        <f t="shared" si="2"/>
        <v>10000000.5</v>
      </c>
      <c r="J30">
        <v>1600000001102545</v>
      </c>
      <c r="K30">
        <v>1600010278614169.2</v>
      </c>
      <c r="L30">
        <v>1600000066941123</v>
      </c>
      <c r="M30">
        <v>1600000026461472</v>
      </c>
      <c r="N30">
        <v>1600000725810234</v>
      </c>
      <c r="O30">
        <v>1600000000493761</v>
      </c>
    </row>
    <row r="31" spans="1:35">
      <c r="A31" s="1">
        <f t="shared" si="0"/>
        <v>10002540</v>
      </c>
      <c r="B31" s="1">
        <f t="shared" si="2"/>
        <v>10000002.918749999</v>
      </c>
      <c r="C31" s="1">
        <f t="shared" si="2"/>
        <v>10031481.5625</v>
      </c>
      <c r="D31" s="1">
        <f t="shared" si="2"/>
        <v>9999628.6875</v>
      </c>
      <c r="E31" s="1">
        <f t="shared" si="2"/>
        <v>10000250.3125</v>
      </c>
      <c r="F31" s="1">
        <f t="shared" si="2"/>
        <v>10001310</v>
      </c>
      <c r="G31" s="1">
        <f t="shared" si="2"/>
        <v>10000001.5</v>
      </c>
      <c r="J31">
        <v>1600000000000763.7</v>
      </c>
      <c r="K31">
        <v>1600000007064668.5</v>
      </c>
      <c r="L31">
        <v>1600000000044595.5</v>
      </c>
      <c r="M31">
        <v>1600000000020736.5</v>
      </c>
      <c r="N31">
        <v>1600000000493761</v>
      </c>
      <c r="O31">
        <v>1600000000000340</v>
      </c>
    </row>
    <row r="32" spans="1:35">
      <c r="A32" s="1">
        <f t="shared" si="0"/>
        <v>10002852</v>
      </c>
      <c r="B32" s="1">
        <f t="shared" si="2"/>
        <v>10000006.71875</v>
      </c>
      <c r="C32" s="1">
        <f t="shared" si="2"/>
        <v>10055070.5625</v>
      </c>
      <c r="D32" s="1">
        <f t="shared" si="2"/>
        <v>9999742.6875</v>
      </c>
      <c r="E32" s="1">
        <f t="shared" si="2"/>
        <v>10000191.3125</v>
      </c>
      <c r="F32" s="1">
        <f t="shared" si="2"/>
        <v>10003021</v>
      </c>
      <c r="G32" s="1">
        <f t="shared" si="2"/>
        <v>10000002.5</v>
      </c>
    </row>
    <row r="33" spans="1:15">
      <c r="A33" s="1">
        <f t="shared" si="0"/>
        <v>10001196</v>
      </c>
      <c r="B33" s="1">
        <f t="shared" si="2"/>
        <v>10000009.11875</v>
      </c>
      <c r="C33" s="1">
        <f t="shared" si="2"/>
        <v>10056847.5625</v>
      </c>
      <c r="D33" s="1">
        <f t="shared" si="2"/>
        <v>10001487.6875</v>
      </c>
      <c r="E33" s="1">
        <f t="shared" si="2"/>
        <v>10000030.3125</v>
      </c>
      <c r="F33" s="1">
        <f t="shared" si="2"/>
        <v>10004526</v>
      </c>
      <c r="G33" s="1">
        <f t="shared" si="2"/>
        <v>10000003.5</v>
      </c>
      <c r="J33">
        <f t="array" ref="J33:O38">MMULT(MINVERSE(J26:O31),J26:O31)</f>
        <v>0.984375</v>
      </c>
      <c r="K33">
        <v>0</v>
      </c>
      <c r="L33">
        <v>-1.5625E-2</v>
      </c>
      <c r="M33">
        <v>-1.5625E-2</v>
      </c>
      <c r="N33">
        <v>-1.5625E-2</v>
      </c>
      <c r="O33">
        <v>-3.125E-2</v>
      </c>
    </row>
    <row r="34" spans="1:15">
      <c r="A34" s="1">
        <f t="shared" ref="A34:G34" si="3">A14+$B$20</f>
        <v>10003338</v>
      </c>
      <c r="B34" s="1">
        <f t="shared" si="3"/>
        <v>10000010.918749999</v>
      </c>
      <c r="C34" s="1">
        <f t="shared" si="3"/>
        <v>10095005.5625</v>
      </c>
      <c r="D34" s="1">
        <f t="shared" si="3"/>
        <v>10000619.6875</v>
      </c>
      <c r="E34" s="1">
        <f t="shared" si="3"/>
        <v>9999945.3125</v>
      </c>
      <c r="F34" s="1">
        <f t="shared" si="3"/>
        <v>10005942</v>
      </c>
      <c r="G34" s="1">
        <f t="shared" si="3"/>
        <v>10000004.5</v>
      </c>
      <c r="J34">
        <v>0</v>
      </c>
      <c r="K34">
        <v>0.99999809265136719</v>
      </c>
      <c r="L34">
        <v>0</v>
      </c>
      <c r="M34">
        <v>-1.9073486328125E-6</v>
      </c>
      <c r="N34">
        <v>0</v>
      </c>
      <c r="O34">
        <v>-3.814697265625E-6</v>
      </c>
    </row>
    <row r="35" spans="1:15">
      <c r="A35" s="1">
        <f t="shared" ref="A35:G35" si="4">A15+$B$20</f>
        <v>10004247</v>
      </c>
      <c r="B35" s="1">
        <f t="shared" si="4"/>
        <v>10000012.518750001</v>
      </c>
      <c r="C35" s="1">
        <f t="shared" si="4"/>
        <v>10114902.5625</v>
      </c>
      <c r="D35" s="1">
        <f t="shared" si="4"/>
        <v>10000737.6875</v>
      </c>
      <c r="E35" s="1">
        <f t="shared" si="4"/>
        <v>9999907.3125</v>
      </c>
      <c r="F35" s="1">
        <f t="shared" si="4"/>
        <v>10007944</v>
      </c>
      <c r="G35" s="1">
        <f t="shared" si="4"/>
        <v>10000005.5</v>
      </c>
      <c r="J35">
        <v>0</v>
      </c>
      <c r="K35">
        <v>-6.103515625E-5</v>
      </c>
      <c r="L35">
        <v>1</v>
      </c>
      <c r="M35">
        <v>-3.0517578125E-5</v>
      </c>
      <c r="N35">
        <v>0</v>
      </c>
      <c r="O35">
        <v>-3.0517578125E-5</v>
      </c>
    </row>
    <row r="36" spans="1:15">
      <c r="A36" s="1">
        <f>A16+$B$20</f>
        <v>10004014</v>
      </c>
      <c r="B36" s="1">
        <f t="shared" ref="B36:G36" si="5">B16+$B$20</f>
        <v>10000014.018750001</v>
      </c>
      <c r="C36" s="1">
        <f t="shared" si="5"/>
        <v>10130474.5625</v>
      </c>
      <c r="D36" s="1">
        <f t="shared" si="5"/>
        <v>10001612.6875</v>
      </c>
      <c r="E36" s="1">
        <f t="shared" si="5"/>
        <v>9999965.3125</v>
      </c>
      <c r="F36" s="1">
        <f t="shared" si="5"/>
        <v>10010428</v>
      </c>
      <c r="G36" s="1">
        <f t="shared" si="5"/>
        <v>10000006.5</v>
      </c>
      <c r="J36">
        <v>-7.62939453125E-6</v>
      </c>
      <c r="K36">
        <v>-7.62939453125E-6</v>
      </c>
      <c r="L36">
        <v>-7.62939453125E-6</v>
      </c>
      <c r="M36">
        <v>0.99999237060546875</v>
      </c>
      <c r="N36">
        <v>7.62939453125E-6</v>
      </c>
      <c r="O36">
        <v>0</v>
      </c>
    </row>
    <row r="37" spans="1:15">
      <c r="A37" s="1">
        <f t="shared" ref="A37:G37" si="6">A17+$B$20</f>
        <v>10005234</v>
      </c>
      <c r="B37" s="1">
        <f t="shared" si="6"/>
        <v>10000015.21875</v>
      </c>
      <c r="C37" s="1">
        <f t="shared" si="6"/>
        <v>10167195.5625</v>
      </c>
      <c r="D37" s="1">
        <f t="shared" si="6"/>
        <v>10000813.6875</v>
      </c>
      <c r="E37" s="1">
        <f t="shared" si="6"/>
        <v>10000220.3125</v>
      </c>
      <c r="F37" s="1">
        <f t="shared" si="6"/>
        <v>10012657</v>
      </c>
      <c r="G37" s="1">
        <f t="shared" si="6"/>
        <v>10000007.5</v>
      </c>
      <c r="J37">
        <v>0</v>
      </c>
      <c r="K37">
        <v>0</v>
      </c>
      <c r="L37">
        <v>0</v>
      </c>
      <c r="M37">
        <v>0</v>
      </c>
      <c r="N37">
        <v>1</v>
      </c>
      <c r="O37">
        <v>3.0517578125E-5</v>
      </c>
    </row>
    <row r="38" spans="1:15">
      <c r="J38">
        <v>0</v>
      </c>
      <c r="K38">
        <v>1.5625E-2</v>
      </c>
      <c r="L38">
        <v>1.5625E-2</v>
      </c>
      <c r="M38">
        <v>0</v>
      </c>
      <c r="N38">
        <v>0</v>
      </c>
      <c r="O38">
        <v>1.015625</v>
      </c>
    </row>
    <row r="39" spans="1:15">
      <c r="A39" s="1">
        <f>AVERAGE(A22:A37)</f>
        <v>10000000</v>
      </c>
      <c r="B39" s="1">
        <f t="shared" ref="B39:G39" si="7">AVERAGE(B22:B37)</f>
        <v>10000000.000000002</v>
      </c>
      <c r="C39" s="1">
        <f t="shared" si="7"/>
        <v>10000000</v>
      </c>
      <c r="D39" s="1">
        <f t="shared" si="7"/>
        <v>10000000</v>
      </c>
      <c r="E39" s="1">
        <f t="shared" si="7"/>
        <v>10000000</v>
      </c>
      <c r="F39" s="1">
        <f t="shared" si="7"/>
        <v>10000000</v>
      </c>
      <c r="G39" s="1">
        <f t="shared" si="7"/>
        <v>10000000</v>
      </c>
    </row>
    <row r="40" spans="1:15">
      <c r="J40" t="s">
        <v>90</v>
      </c>
      <c r="K40" s="12">
        <f>MDETERM(J33:O38)</f>
        <v>0.99974673171058348</v>
      </c>
      <c r="L40">
        <v>1</v>
      </c>
      <c r="M40" t="e">
        <f ca="1">[1]!NewLRE(K40,L40)</f>
        <v>#NAME?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U114"/>
  <sheetViews>
    <sheetView topLeftCell="T7" zoomScaleNormal="100" workbookViewId="0">
      <selection activeCell="A21" sqref="A21"/>
    </sheetView>
  </sheetViews>
  <sheetFormatPr defaultRowHeight="12.75"/>
  <cols>
    <col min="1" max="1" width="12.7109375" customWidth="1"/>
    <col min="2" max="2" width="12.42578125" customWidth="1"/>
    <col min="3" max="3" width="14.5703125" customWidth="1"/>
    <col min="4" max="4" width="13.42578125" customWidth="1"/>
    <col min="5" max="5" width="13.85546875" customWidth="1"/>
    <col min="6" max="6" width="12.42578125" customWidth="1"/>
    <col min="7" max="7" width="13.85546875" customWidth="1"/>
    <col min="8" max="8" width="11.85546875" customWidth="1"/>
    <col min="9" max="9" width="21.28515625" customWidth="1"/>
    <col min="10" max="10" width="18.42578125" customWidth="1"/>
    <col min="11" max="11" width="20.85546875" customWidth="1"/>
    <col min="13" max="13" width="16.85546875" customWidth="1"/>
    <col min="14" max="14" width="14.7109375" customWidth="1"/>
    <col min="15" max="15" width="13.42578125" customWidth="1"/>
    <col min="16" max="16" width="14.28515625" customWidth="1"/>
    <col min="17" max="17" width="14.140625" customWidth="1"/>
    <col min="18" max="18" width="12.42578125" customWidth="1"/>
    <col min="19" max="19" width="12.140625" customWidth="1"/>
    <col min="22" max="22" width="17.140625" customWidth="1"/>
    <col min="23" max="24" width="14.7109375" bestFit="1" customWidth="1"/>
    <col min="25" max="25" width="15.28515625" bestFit="1" customWidth="1"/>
    <col min="26" max="28" width="14.7109375" bestFit="1" customWidth="1"/>
    <col min="31" max="31" width="17" customWidth="1"/>
    <col min="32" max="32" width="14.85546875" customWidth="1"/>
    <col min="33" max="33" width="14.7109375" bestFit="1" customWidth="1"/>
    <col min="34" max="34" width="15.28515625" bestFit="1" customWidth="1"/>
    <col min="35" max="37" width="14.7109375" bestFit="1" customWidth="1"/>
  </cols>
  <sheetData>
    <row r="1" spans="1:28">
      <c r="A1" t="s">
        <v>82</v>
      </c>
      <c r="B1" t="s">
        <v>81</v>
      </c>
      <c r="C1" t="s">
        <v>80</v>
      </c>
      <c r="D1" t="s">
        <v>79</v>
      </c>
      <c r="E1" t="s">
        <v>78</v>
      </c>
      <c r="F1" t="s">
        <v>77</v>
      </c>
      <c r="G1" t="s">
        <v>76</v>
      </c>
      <c r="I1" t="s">
        <v>48</v>
      </c>
      <c r="J1" t="s">
        <v>49</v>
      </c>
      <c r="K1" t="s">
        <v>50</v>
      </c>
    </row>
    <row r="2" spans="1:28">
      <c r="A2" s="3">
        <v>60323</v>
      </c>
      <c r="B2" s="3">
        <v>83</v>
      </c>
      <c r="C2" s="4">
        <v>234289</v>
      </c>
      <c r="D2" s="4">
        <v>2356</v>
      </c>
      <c r="E2" s="4">
        <v>1590</v>
      </c>
      <c r="F2" s="4">
        <v>107608</v>
      </c>
      <c r="G2" s="4">
        <v>1947</v>
      </c>
      <c r="H2" t="s">
        <v>43</v>
      </c>
      <c r="I2" s="11">
        <f>COVAR(A2:A17,C2:C17)</f>
        <v>321872068.4375</v>
      </c>
      <c r="M2" s="1" t="e">
        <f ca="1">[1]!NewCovar($A$27:$A$42,$A$27:$A$42)</f>
        <v>#NAME?</v>
      </c>
      <c r="N2" s="1"/>
      <c r="O2" s="1"/>
      <c r="P2" s="1"/>
      <c r="Q2" s="1"/>
      <c r="R2" s="1"/>
      <c r="S2" s="1"/>
      <c r="V2" s="14" t="e">
        <f ca="1">[1]!NewCORREL($A$27:$A$42,$A$27:$A$42)</f>
        <v>#NAME?</v>
      </c>
      <c r="W2" s="14"/>
      <c r="X2" s="14"/>
      <c r="Y2" s="14"/>
      <c r="Z2" s="14"/>
      <c r="AA2" s="14"/>
    </row>
    <row r="3" spans="1:28">
      <c r="A3" s="3">
        <v>61122</v>
      </c>
      <c r="B3" s="3">
        <v>88.5</v>
      </c>
      <c r="C3" s="4">
        <v>259426</v>
      </c>
      <c r="D3" s="4">
        <v>2325</v>
      </c>
      <c r="E3" s="4">
        <v>1456</v>
      </c>
      <c r="F3" s="4">
        <v>108632</v>
      </c>
      <c r="G3" s="4">
        <v>1948</v>
      </c>
      <c r="H3" t="s">
        <v>44</v>
      </c>
      <c r="I3" s="12">
        <f>CORREL(A2:A17,C2:C17)</f>
        <v>0.98355161117966938</v>
      </c>
      <c r="M3" s="1" t="e">
        <f ca="1">[1]!NewCovar($B$27:$B$42,$A$27:$A$42)</f>
        <v>#NAME?</v>
      </c>
      <c r="N3" s="1" t="e">
        <f ca="1">[1]!NewCovar($B$27:$B$42,$B$27:$B$42)</f>
        <v>#NAME?</v>
      </c>
      <c r="O3" s="1"/>
      <c r="P3" s="1"/>
      <c r="Q3" s="1"/>
      <c r="R3" s="1"/>
      <c r="S3" s="1"/>
      <c r="V3" s="14" t="e">
        <f ca="1">[1]!NewCORREL($B$27:$B$42,$A$27:$A$42)</f>
        <v>#NAME?</v>
      </c>
      <c r="W3" s="14" t="e">
        <f ca="1">[1]!NewCORREL($B$27:$B$42,$B$27:$B$42)</f>
        <v>#NAME?</v>
      </c>
      <c r="X3" s="14"/>
      <c r="Y3" s="14"/>
      <c r="Z3" s="14"/>
      <c r="AA3" s="14"/>
    </row>
    <row r="4" spans="1:28">
      <c r="A4" s="3">
        <v>60171</v>
      </c>
      <c r="B4" s="3">
        <v>88.2</v>
      </c>
      <c r="C4" s="4">
        <v>258054</v>
      </c>
      <c r="D4" s="4">
        <v>3682</v>
      </c>
      <c r="E4" s="4">
        <v>1616</v>
      </c>
      <c r="F4" s="4">
        <v>109773</v>
      </c>
      <c r="G4" s="4">
        <v>1949</v>
      </c>
      <c r="H4" t="s">
        <v>45</v>
      </c>
      <c r="I4" s="12">
        <f>PEARSON(A2:A17,C2:C17)</f>
        <v>0.98355161117966938</v>
      </c>
      <c r="M4" s="1" t="e">
        <f ca="1">[1]!NewCovar($C$27:$C$42,$A$27:$A$42)</f>
        <v>#NAME?</v>
      </c>
      <c r="N4" s="1" t="e">
        <f ca="1">[1]!NewCovar($C$27:$C$42,$B$27:$B$42)</f>
        <v>#NAME?</v>
      </c>
      <c r="O4" s="1" t="e">
        <f ca="1">[1]!NewCovar($C$27:$C$42,$C$27:$C$42)</f>
        <v>#NAME?</v>
      </c>
      <c r="P4" s="1"/>
      <c r="Q4" s="1"/>
      <c r="R4" s="1"/>
      <c r="S4" s="1"/>
      <c r="V4" s="14" t="e">
        <f ca="1">[1]!NewCORREL($C$27:$C$42,$A$27:$A$42)</f>
        <v>#NAME?</v>
      </c>
      <c r="W4" s="14" t="e">
        <f ca="1">[1]!NewCORREL($C$27:$C$42,$B$27:$B$42)</f>
        <v>#NAME?</v>
      </c>
      <c r="X4" s="14" t="e">
        <f ca="1">[1]!NewCORREL($C$27:$C$42,$C$27:$C$42)</f>
        <v>#NAME?</v>
      </c>
      <c r="Y4" s="14"/>
      <c r="Z4" s="14"/>
      <c r="AA4" s="14"/>
    </row>
    <row r="5" spans="1:28">
      <c r="A5" s="3">
        <v>61187</v>
      </c>
      <c r="B5" s="3">
        <v>89.5</v>
      </c>
      <c r="C5" s="4">
        <v>284599</v>
      </c>
      <c r="D5" s="4">
        <v>3351</v>
      </c>
      <c r="E5" s="4">
        <v>1650</v>
      </c>
      <c r="F5" s="4">
        <v>110929</v>
      </c>
      <c r="G5" s="4">
        <v>1950</v>
      </c>
      <c r="H5" t="s">
        <v>46</v>
      </c>
      <c r="I5" s="12">
        <f>RSQ(A2:A17,C2:C17)</f>
        <v>0.96737377185412354</v>
      </c>
      <c r="M5" s="1" t="e">
        <f ca="1">[1]!NewCovar($D$27:$D$42,$A$27:$A$42)</f>
        <v>#NAME?</v>
      </c>
      <c r="N5" s="1" t="e">
        <f ca="1">[1]!NewCovar($D$27:$D$42,$B$27:$B$42)</f>
        <v>#NAME?</v>
      </c>
      <c r="O5" s="1">
        <f>COVAR($D$27:$D$42,$C$27:$C$42)</f>
        <v>52616596.73828125</v>
      </c>
      <c r="P5" s="1">
        <f>COVAR($D$27:$D$42,$D$27:$D$42)</f>
        <v>818646.96484375</v>
      </c>
      <c r="Q5" s="1"/>
      <c r="R5" s="1"/>
      <c r="S5" s="1"/>
      <c r="V5" s="14" t="e">
        <f ca="1">[1]!NewCORREL($D$27:$D$42,$A$27:$A$42)</f>
        <v>#NAME?</v>
      </c>
      <c r="W5" s="14" t="e">
        <f ca="1">[1]!NewCORREL($D$27:$D$42,$B$27:$B$42)</f>
        <v>#NAME?</v>
      </c>
      <c r="X5" s="14" t="e">
        <f ca="1">[1]!NewCORREL($D$27:$D$42,$C$27:$C$42)</f>
        <v>#NAME?</v>
      </c>
      <c r="Y5" s="14" t="e">
        <f ca="1">[1]!NewCORREL($D$27:$D$42,$D$27:$D$42)</f>
        <v>#NAME?</v>
      </c>
      <c r="Z5" s="14"/>
      <c r="AA5" s="14"/>
    </row>
    <row r="6" spans="1:28">
      <c r="A6" s="3">
        <v>63221</v>
      </c>
      <c r="B6" s="3">
        <v>96.2</v>
      </c>
      <c r="C6" s="4">
        <v>328975</v>
      </c>
      <c r="D6" s="4">
        <v>2099</v>
      </c>
      <c r="E6" s="4">
        <v>3099</v>
      </c>
      <c r="F6" s="4">
        <v>112075</v>
      </c>
      <c r="G6" s="4">
        <v>1951</v>
      </c>
      <c r="M6" s="1" t="e">
        <f ca="1">[1]!NewCovar($E$27:$E$42,$A$27:$A$42)</f>
        <v>#NAME?</v>
      </c>
      <c r="N6" s="1" t="e">
        <f ca="1">[1]!NewCovar($E$27:$E$42,$B$27:$B$42)</f>
        <v>#NAME?</v>
      </c>
      <c r="O6" s="1">
        <f>COVAR($E$27:$E$42,$C$27:$C$42)</f>
        <v>28950401.57421875</v>
      </c>
      <c r="P6" s="1">
        <f>COVAR($E$27:$E$42,$D$27:$D$42)</f>
        <v>-108167.58984375</v>
      </c>
      <c r="Q6" s="1">
        <f>COVAR($E$27:$E$42,$E$27:$E$42)</f>
        <v>454035.08984375</v>
      </c>
      <c r="R6" s="1"/>
      <c r="S6" s="1"/>
      <c r="V6" s="14" t="e">
        <f ca="1">[1]!NewCORREL($E$27:$E$42,$A$27:$A$42)</f>
        <v>#NAME?</v>
      </c>
      <c r="W6" s="14" t="e">
        <f ca="1">[1]!NewCORREL($E$27:$E$42,$B$27:$B$42)</f>
        <v>#NAME?</v>
      </c>
      <c r="X6" s="14" t="e">
        <f ca="1">[1]!NewCORREL($E$27:$E$42,$C$27:$C$42)</f>
        <v>#NAME?</v>
      </c>
      <c r="Y6" s="14" t="e">
        <f ca="1">[1]!NewCORREL($E$27:$E$42,$D$27:$D$42)</f>
        <v>#NAME?</v>
      </c>
      <c r="Z6" s="14" t="e">
        <f ca="1">[1]!NewCORREL($E$27:$E$42,$E$27:$E$42)</f>
        <v>#NAME?</v>
      </c>
      <c r="AA6" s="14"/>
    </row>
    <row r="7" spans="1:28">
      <c r="A7" s="3">
        <v>63639</v>
      </c>
      <c r="B7" s="3">
        <v>98.1</v>
      </c>
      <c r="C7" s="4">
        <v>346999</v>
      </c>
      <c r="D7" s="4">
        <v>1932</v>
      </c>
      <c r="E7" s="4">
        <v>3594</v>
      </c>
      <c r="F7" s="4">
        <v>113270</v>
      </c>
      <c r="G7" s="4">
        <v>1952</v>
      </c>
      <c r="H7" t="s">
        <v>51</v>
      </c>
      <c r="J7" s="14">
        <f>STDEV(A2:A17)</f>
        <v>3511.968355969816</v>
      </c>
      <c r="K7" s="14">
        <f>STDEV(C2:C17)</f>
        <v>99394.937795287973</v>
      </c>
      <c r="M7" s="1" t="e">
        <f ca="1">[1]!NewCovar($F$27:$F$42,$A$27:$A$42)</f>
        <v>#NAME?</v>
      </c>
      <c r="N7" s="1" t="e">
        <f ca="1">[1]!NewCovar($F$27:$F$42,$B$27:$B$42)</f>
        <v>#NAME?</v>
      </c>
      <c r="O7" s="1">
        <f>COVAR($F$27:$F$42,$C$27:$C$42)</f>
        <v>642413385.5625</v>
      </c>
      <c r="P7" s="1">
        <f>COVAR($F$27:$F$42,$D$27:$D$42)</f>
        <v>4183820.1875</v>
      </c>
      <c r="Q7" s="1">
        <f>COVAR($F$27:$F$42,$E$27:$E$42)</f>
        <v>1653842</v>
      </c>
      <c r="R7" s="1">
        <f>COVAR($F$27:$F$42,$F$27:$F$42)</f>
        <v>45363139.625</v>
      </c>
      <c r="S7" s="1"/>
      <c r="V7" s="14" t="e">
        <f ca="1">[1]!NewCORREL($F$27:$F$42,$A$27:$A$42)</f>
        <v>#NAME?</v>
      </c>
      <c r="W7" s="14" t="e">
        <f ca="1">[1]!NewCORREL($F$27:$F$42,$B$27:$B$42)</f>
        <v>#NAME?</v>
      </c>
      <c r="X7" s="14" t="e">
        <f ca="1">[1]!NewCORREL($F$27:$F$42,$C$27:$C$42)</f>
        <v>#NAME?</v>
      </c>
      <c r="Y7" s="14" t="e">
        <f ca="1">[1]!NewCORREL($F$27:$F$42,$D$27:$D$42)</f>
        <v>#NAME?</v>
      </c>
      <c r="Z7" s="14" t="e">
        <f ca="1">[1]!NewCORREL($F$27:$F$42,$E$27:$E$42)</f>
        <v>#NAME?</v>
      </c>
      <c r="AA7" s="14" t="e">
        <f ca="1">[1]!NewCORREL($F$27:$F$42,$F$27:$F$42)</f>
        <v>#NAME?</v>
      </c>
    </row>
    <row r="8" spans="1:28">
      <c r="A8" s="3">
        <v>64989</v>
      </c>
      <c r="B8" s="3">
        <v>99</v>
      </c>
      <c r="C8" s="4">
        <v>365385</v>
      </c>
      <c r="D8" s="4">
        <v>1870</v>
      </c>
      <c r="E8" s="4">
        <v>3547</v>
      </c>
      <c r="F8" s="4">
        <v>115094</v>
      </c>
      <c r="G8" s="4">
        <v>1953</v>
      </c>
      <c r="M8" s="1" t="e">
        <f ca="1">[1]!NewCovar($G$27:$G$42,$A$27:$A$42)</f>
        <v>#NAME?</v>
      </c>
      <c r="N8" s="1" t="e">
        <f ca="1">[1]!NewCovar($G$27:$G$42,$B$27:$B$42)</f>
        <v>#NAME?</v>
      </c>
      <c r="O8" s="1">
        <f>COVAR($G$27:$G$42,$C$27:$C$42)</f>
        <v>441541.78125</v>
      </c>
      <c r="P8" s="1">
        <f>COVAR($G$27:$G$42,$D$27:$D$42)</f>
        <v>2787.21875</v>
      </c>
      <c r="Q8" s="1">
        <f>COVAR($G$27:$G$42,$E$27:$E$42)</f>
        <v>1296.03125</v>
      </c>
      <c r="R8" s="1">
        <f>COVAR($G$27:$G$42,$F$27:$F$42)</f>
        <v>30860.0625</v>
      </c>
      <c r="S8" s="1">
        <f>COVAR($G$27:$G$42,$G$27:$G$42)</f>
        <v>21.25</v>
      </c>
      <c r="V8" s="14" t="e">
        <f ca="1">[1]!NewCORREL($G$27:$G$42,$A$27:$A$42)</f>
        <v>#NAME?</v>
      </c>
      <c r="W8" s="14" t="e">
        <f ca="1">[1]!NewCORREL($G$27:$G$42,$B$27:$B$42)</f>
        <v>#NAME?</v>
      </c>
      <c r="X8" s="14" t="e">
        <f ca="1">[1]!NewCORREL($G$27:$G$42,$C$27:$C$42)</f>
        <v>#NAME?</v>
      </c>
      <c r="Y8" s="14" t="e">
        <f ca="1">[1]!NewCORREL($G$27:$G$42,$D$27:$D$42)</f>
        <v>#NAME?</v>
      </c>
      <c r="Z8" s="14" t="e">
        <f ca="1">[1]!NewCORREL($G$27:$G$42,$E$27:$E$42)</f>
        <v>#NAME?</v>
      </c>
      <c r="AA8" s="14" t="e">
        <f ca="1">[1]!NewCORREL($G$27:$G$42,$F$27:$F$42)</f>
        <v>#NAME?</v>
      </c>
      <c r="AB8" s="14" t="e">
        <f ca="1">[1]!NewCORREL($G$27:$G$42,$G$27:$G$42)</f>
        <v>#NAME?</v>
      </c>
    </row>
    <row r="9" spans="1:28">
      <c r="A9" s="3">
        <v>63761</v>
      </c>
      <c r="B9" s="3">
        <v>100</v>
      </c>
      <c r="C9" s="4">
        <v>363112</v>
      </c>
      <c r="D9" s="4">
        <v>3578</v>
      </c>
      <c r="E9" s="4">
        <v>3350</v>
      </c>
      <c r="F9" s="4">
        <v>116219</v>
      </c>
      <c r="G9" s="4">
        <v>1954</v>
      </c>
    </row>
    <row r="10" spans="1:28">
      <c r="A10" s="3">
        <v>66019</v>
      </c>
      <c r="B10" s="3">
        <v>101.2</v>
      </c>
      <c r="C10" s="4">
        <v>397469</v>
      </c>
      <c r="D10" s="4">
        <v>2904</v>
      </c>
      <c r="E10" s="4">
        <v>3048</v>
      </c>
      <c r="F10" s="4">
        <v>117388</v>
      </c>
      <c r="G10" s="4">
        <v>1955</v>
      </c>
    </row>
    <row r="11" spans="1:28">
      <c r="A11" s="3">
        <v>67857</v>
      </c>
      <c r="B11" s="3">
        <v>104.6</v>
      </c>
      <c r="C11" s="4">
        <v>419180</v>
      </c>
      <c r="D11" s="4">
        <v>2822</v>
      </c>
      <c r="E11" s="4">
        <v>2857</v>
      </c>
      <c r="F11" s="4">
        <v>118734</v>
      </c>
      <c r="G11" s="4">
        <v>1956</v>
      </c>
      <c r="M11">
        <v>11563051.625</v>
      </c>
      <c r="V11" s="14">
        <v>1</v>
      </c>
      <c r="W11" s="14"/>
      <c r="X11" s="14"/>
      <c r="Y11" s="14"/>
      <c r="Z11" s="14"/>
      <c r="AA11" s="14"/>
      <c r="AB11" s="14"/>
    </row>
    <row r="12" spans="1:28">
      <c r="A12" s="3">
        <v>68169</v>
      </c>
      <c r="B12" s="3">
        <v>108.4</v>
      </c>
      <c r="C12" s="4">
        <v>442769</v>
      </c>
      <c r="D12" s="4">
        <v>2936</v>
      </c>
      <c r="E12" s="4">
        <v>2798</v>
      </c>
      <c r="F12" s="4">
        <v>120445</v>
      </c>
      <c r="G12" s="4">
        <v>1957</v>
      </c>
      <c r="M12">
        <v>34496.868750000001</v>
      </c>
      <c r="N12">
        <v>109.17902343749999</v>
      </c>
      <c r="V12" s="14">
        <v>0.97089852506105578</v>
      </c>
      <c r="W12" s="14">
        <v>1</v>
      </c>
      <c r="X12" s="14"/>
      <c r="Y12" s="14"/>
      <c r="Z12" s="14"/>
      <c r="AA12" s="14"/>
      <c r="AB12" s="14"/>
    </row>
    <row r="13" spans="1:28">
      <c r="A13" s="3">
        <v>66513</v>
      </c>
      <c r="B13" s="3">
        <v>110.8</v>
      </c>
      <c r="C13" s="4">
        <v>444546</v>
      </c>
      <c r="D13" s="4">
        <v>4681</v>
      </c>
      <c r="E13" s="4">
        <v>2637</v>
      </c>
      <c r="F13" s="4">
        <v>121950</v>
      </c>
      <c r="G13" s="4">
        <v>1958</v>
      </c>
      <c r="M13">
        <v>321872068.4375</v>
      </c>
      <c r="N13">
        <v>997128.85820312507</v>
      </c>
      <c r="O13">
        <v>9261894055.6210937</v>
      </c>
      <c r="V13" s="14">
        <v>0.98355161117966938</v>
      </c>
      <c r="W13" s="14">
        <v>0.99158917802478208</v>
      </c>
      <c r="X13" s="14">
        <v>1</v>
      </c>
      <c r="Y13" s="14"/>
      <c r="Z13" s="14"/>
      <c r="AA13" s="14"/>
      <c r="AB13" s="14"/>
    </row>
    <row r="14" spans="1:28">
      <c r="A14" s="3">
        <v>68655</v>
      </c>
      <c r="B14" s="3">
        <v>112.6</v>
      </c>
      <c r="C14" s="4">
        <v>482704</v>
      </c>
      <c r="D14" s="4">
        <v>3813</v>
      </c>
      <c r="E14" s="4">
        <v>2552</v>
      </c>
      <c r="F14" s="4">
        <v>123366</v>
      </c>
      <c r="G14" s="4">
        <v>1959</v>
      </c>
      <c r="M14">
        <v>1546033.75</v>
      </c>
      <c r="N14">
        <v>5867.4996093750015</v>
      </c>
      <c r="O14">
        <v>52616596.73828125</v>
      </c>
      <c r="P14">
        <v>818646.96484375</v>
      </c>
      <c r="V14" s="14">
        <v>0.50249808387599415</v>
      </c>
      <c r="W14" s="14">
        <v>0.62063339255909666</v>
      </c>
      <c r="X14" s="14">
        <v>0.60426093988955787</v>
      </c>
      <c r="Y14" s="14">
        <v>1</v>
      </c>
      <c r="Z14" s="14"/>
      <c r="AA14" s="14"/>
      <c r="AB14" s="14"/>
    </row>
    <row r="15" spans="1:28">
      <c r="A15" s="3">
        <v>69564</v>
      </c>
      <c r="B15" s="3">
        <v>114.2</v>
      </c>
      <c r="C15" s="4">
        <v>502601</v>
      </c>
      <c r="D15" s="4">
        <v>3931</v>
      </c>
      <c r="E15" s="4">
        <v>2514</v>
      </c>
      <c r="F15" s="4">
        <v>125368</v>
      </c>
      <c r="G15" s="4">
        <v>1960</v>
      </c>
      <c r="M15">
        <v>1047826</v>
      </c>
      <c r="N15">
        <v>3272.1128906249983</v>
      </c>
      <c r="O15">
        <v>28950401.57421875</v>
      </c>
      <c r="P15">
        <v>-108167.58984375</v>
      </c>
      <c r="Q15">
        <v>454035.08984375</v>
      </c>
      <c r="V15" s="14">
        <v>0.45730739997648179</v>
      </c>
      <c r="W15" s="14">
        <v>0.46474418760067449</v>
      </c>
      <c r="X15" s="14">
        <v>0.44643679189262647</v>
      </c>
      <c r="Y15" s="14">
        <v>-0.17742062950187837</v>
      </c>
      <c r="Z15" s="14">
        <v>1</v>
      </c>
      <c r="AA15" s="14"/>
      <c r="AB15" s="14"/>
    </row>
    <row r="16" spans="1:28">
      <c r="A16" s="3">
        <v>69331</v>
      </c>
      <c r="B16" s="3">
        <v>115.7</v>
      </c>
      <c r="C16" s="4">
        <v>518173</v>
      </c>
      <c r="D16" s="4">
        <v>4806</v>
      </c>
      <c r="E16" s="4">
        <v>2572</v>
      </c>
      <c r="F16" s="4">
        <v>127852</v>
      </c>
      <c r="G16" s="4">
        <v>1961</v>
      </c>
      <c r="M16">
        <v>21995592.875</v>
      </c>
      <c r="N16">
        <v>68909.0625</v>
      </c>
      <c r="O16">
        <v>642413385.5625</v>
      </c>
      <c r="P16">
        <v>4183820.1875</v>
      </c>
      <c r="Q16">
        <v>1653842</v>
      </c>
      <c r="R16">
        <v>45363139.625</v>
      </c>
      <c r="V16" s="14">
        <v>0.96039057159437557</v>
      </c>
      <c r="W16" s="14">
        <v>0.97916343297749808</v>
      </c>
      <c r="X16" s="14">
        <v>0.99109006945847766</v>
      </c>
      <c r="Y16" s="14">
        <v>0.68655151636531198</v>
      </c>
      <c r="Z16" s="14">
        <v>0.36441626718903197</v>
      </c>
      <c r="AA16" s="14">
        <v>1</v>
      </c>
      <c r="AB16" s="14"/>
    </row>
    <row r="17" spans="1:47">
      <c r="A17" s="3">
        <v>70551</v>
      </c>
      <c r="B17" s="3">
        <v>116.9</v>
      </c>
      <c r="C17" s="4">
        <v>554894</v>
      </c>
      <c r="D17" s="4">
        <v>4007</v>
      </c>
      <c r="E17" s="4">
        <v>2827</v>
      </c>
      <c r="F17" s="4">
        <v>130081</v>
      </c>
      <c r="G17" s="4">
        <v>1962</v>
      </c>
      <c r="M17">
        <v>15225.875</v>
      </c>
      <c r="N17">
        <v>47.740625000000001</v>
      </c>
      <c r="O17">
        <v>441541.78125</v>
      </c>
      <c r="P17">
        <v>2787.21875</v>
      </c>
      <c r="Q17">
        <v>1296.03125</v>
      </c>
      <c r="R17">
        <v>30860.0625</v>
      </c>
      <c r="S17">
        <v>21.25</v>
      </c>
      <c r="V17" s="14">
        <v>0.97132945919211866</v>
      </c>
      <c r="W17" s="14">
        <v>0.99114919006720525</v>
      </c>
      <c r="X17" s="14">
        <v>0.99527348376478475</v>
      </c>
      <c r="Y17" s="14">
        <v>0.66825660456217462</v>
      </c>
      <c r="Z17" s="14">
        <v>0.41724514983494548</v>
      </c>
      <c r="AA17" s="14">
        <v>0.99395284623292546</v>
      </c>
      <c r="AB17" s="14">
        <v>1</v>
      </c>
    </row>
    <row r="19" spans="1:47">
      <c r="A19" s="1">
        <f>SUM(A2:A17)</f>
        <v>1045072</v>
      </c>
      <c r="B19" s="1">
        <f t="shared" ref="B19:G19" si="0">SUM(B2:B17)</f>
        <v>1626.9</v>
      </c>
      <c r="C19" s="1">
        <f t="shared" si="0"/>
        <v>6203175</v>
      </c>
      <c r="D19" s="1">
        <f t="shared" si="0"/>
        <v>51093</v>
      </c>
      <c r="E19" s="1">
        <f t="shared" si="0"/>
        <v>41707</v>
      </c>
      <c r="F19" s="1">
        <f t="shared" si="0"/>
        <v>1878784</v>
      </c>
      <c r="G19" s="1">
        <f t="shared" si="0"/>
        <v>31272</v>
      </c>
    </row>
    <row r="20" spans="1:47">
      <c r="A20" s="1">
        <f>AVERAGE(A2:A17)</f>
        <v>65317</v>
      </c>
      <c r="B20" s="1">
        <f t="shared" ref="B20:G20" si="1">AVERAGE(B2:B17)</f>
        <v>101.68125000000001</v>
      </c>
      <c r="C20" s="1">
        <f t="shared" si="1"/>
        <v>387698.4375</v>
      </c>
      <c r="D20" s="1">
        <f t="shared" si="1"/>
        <v>3193.3125</v>
      </c>
      <c r="E20" s="1">
        <f t="shared" si="1"/>
        <v>2606.6875</v>
      </c>
      <c r="F20" s="1">
        <f t="shared" si="1"/>
        <v>117424</v>
      </c>
      <c r="G20" s="1">
        <f t="shared" si="1"/>
        <v>1954.5</v>
      </c>
    </row>
    <row r="21" spans="1:47">
      <c r="A21" t="e">
        <f ca="1">[1]!NewSD(A2:A17)</f>
        <v>#NAME?</v>
      </c>
      <c r="B21" t="e">
        <f ca="1">[1]!NewSD(B2:B17)</f>
        <v>#NAME?</v>
      </c>
      <c r="C21" t="e">
        <f ca="1">[1]!NewSD(C2:C17)</f>
        <v>#NAME?</v>
      </c>
      <c r="D21" t="e">
        <f ca="1">[1]!NewSD(D2:D17)</f>
        <v>#NAME?</v>
      </c>
      <c r="E21" t="e">
        <f ca="1">[1]!NewSD(E2:E17)</f>
        <v>#NAME?</v>
      </c>
      <c r="F21" t="e">
        <f ca="1">[1]!NewSD(F2:F17)</f>
        <v>#NAME?</v>
      </c>
      <c r="G21" t="e">
        <f ca="1">[1]!NewSD(G2:G17)</f>
        <v>#NAME?</v>
      </c>
    </row>
    <row r="22" spans="1:47">
      <c r="A22" s="24" t="e">
        <f t="shared" ref="A22:G22" ca="1" si="2">-LOG10(A21/A20)</f>
        <v>#NAME?</v>
      </c>
      <c r="B22" s="24" t="e">
        <f t="shared" ca="1" si="2"/>
        <v>#NAME?</v>
      </c>
      <c r="C22" s="24" t="e">
        <f t="shared" ca="1" si="2"/>
        <v>#NAME?</v>
      </c>
      <c r="D22" s="24" t="e">
        <f t="shared" ca="1" si="2"/>
        <v>#NAME?</v>
      </c>
      <c r="E22" s="24" t="e">
        <f t="shared" ca="1" si="2"/>
        <v>#NAME?</v>
      </c>
      <c r="F22" s="24" t="e">
        <f t="shared" ca="1" si="2"/>
        <v>#NAME?</v>
      </c>
      <c r="G22" s="24" t="e">
        <f t="shared" ca="1" si="2"/>
        <v>#NAME?</v>
      </c>
      <c r="H22" s="24" t="e">
        <f ca="1">[1]!NewMean(A22:G22)</f>
        <v>#NAME?</v>
      </c>
      <c r="M22" t="e">
        <f ca="1">[1]!NewCovar(A2:A17,B2:B17)</f>
        <v>#NAME?</v>
      </c>
    </row>
    <row r="23" spans="1:47">
      <c r="A23" s="1"/>
      <c r="B23" s="1"/>
      <c r="C23" s="1"/>
      <c r="D23" s="1"/>
      <c r="E23" s="1"/>
      <c r="F23" s="1"/>
      <c r="G23" s="1"/>
    </row>
    <row r="24" spans="1:47">
      <c r="A24" s="1"/>
      <c r="B24" s="1"/>
      <c r="C24" s="1"/>
      <c r="D24" s="1"/>
      <c r="E24" s="1"/>
      <c r="F24" s="1"/>
      <c r="G24" s="1"/>
    </row>
    <row r="25" spans="1:47">
      <c r="A25" s="1"/>
      <c r="B25" s="1"/>
      <c r="C25" s="1"/>
      <c r="D25" s="1"/>
      <c r="E25" s="1"/>
      <c r="F25" s="1"/>
      <c r="G25" s="1"/>
    </row>
    <row r="26" spans="1:47">
      <c r="L26" t="s">
        <v>43</v>
      </c>
      <c r="M26" t="s">
        <v>49</v>
      </c>
      <c r="N26" t="s">
        <v>83</v>
      </c>
      <c r="O26" t="s">
        <v>50</v>
      </c>
      <c r="P26" t="s">
        <v>84</v>
      </c>
      <c r="Q26" t="s">
        <v>85</v>
      </c>
      <c r="R26" t="s">
        <v>15</v>
      </c>
      <c r="S26" t="s">
        <v>86</v>
      </c>
      <c r="U26" t="s">
        <v>44</v>
      </c>
      <c r="V26" t="s">
        <v>49</v>
      </c>
      <c r="W26" t="s">
        <v>83</v>
      </c>
      <c r="X26" t="s">
        <v>50</v>
      </c>
      <c r="Y26" t="s">
        <v>84</v>
      </c>
      <c r="Z26" t="s">
        <v>85</v>
      </c>
      <c r="AA26" t="s">
        <v>15</v>
      </c>
      <c r="AB26" t="s">
        <v>86</v>
      </c>
      <c r="AD26" t="s">
        <v>45</v>
      </c>
      <c r="AE26" t="s">
        <v>49</v>
      </c>
      <c r="AF26" t="s">
        <v>83</v>
      </c>
      <c r="AG26" t="s">
        <v>50</v>
      </c>
      <c r="AH26" t="s">
        <v>84</v>
      </c>
      <c r="AI26" t="s">
        <v>85</v>
      </c>
      <c r="AJ26" t="s">
        <v>15</v>
      </c>
      <c r="AK26" t="s">
        <v>86</v>
      </c>
      <c r="AN26" t="s">
        <v>46</v>
      </c>
      <c r="AO26" t="s">
        <v>49</v>
      </c>
      <c r="AP26" t="s">
        <v>83</v>
      </c>
      <c r="AQ26" t="s">
        <v>50</v>
      </c>
      <c r="AR26" t="s">
        <v>84</v>
      </c>
      <c r="AS26" t="s">
        <v>85</v>
      </c>
      <c r="AT26" t="s">
        <v>15</v>
      </c>
      <c r="AU26" t="s">
        <v>86</v>
      </c>
    </row>
    <row r="27" spans="1:47">
      <c r="A27" s="1">
        <v>100060323</v>
      </c>
      <c r="B27" s="1">
        <v>100000083</v>
      </c>
      <c r="C27" s="1">
        <v>100234289</v>
      </c>
      <c r="D27" s="1">
        <v>100002356</v>
      </c>
      <c r="E27" s="1">
        <v>100001590</v>
      </c>
      <c r="F27" s="1">
        <v>100107608</v>
      </c>
      <c r="G27" s="1">
        <v>100001947</v>
      </c>
      <c r="H27" t="s">
        <v>43</v>
      </c>
      <c r="I27" s="13">
        <f>COVAR(A27:A42,C27:C42)</f>
        <v>321872068.4375</v>
      </c>
      <c r="L27" t="s">
        <v>49</v>
      </c>
      <c r="M27">
        <f>COVAR($A$27:$A$42,$A$27:$A$42)</f>
        <v>11563051.625</v>
      </c>
      <c r="U27" t="s">
        <v>49</v>
      </c>
      <c r="V27" s="14">
        <f>CORREL($A$27:$A$42,$A$27:$A$42)</f>
        <v>1</v>
      </c>
      <c r="W27" s="14"/>
      <c r="X27" s="14"/>
      <c r="Y27" s="14"/>
      <c r="Z27" s="14"/>
      <c r="AA27" s="14"/>
      <c r="AD27" t="s">
        <v>49</v>
      </c>
      <c r="AE27" s="14">
        <f>PEARSON($A$27:$A$42,$A$27:$A$42)</f>
        <v>1</v>
      </c>
      <c r="AF27" s="14">
        <f>PEARSON($A$27:$A$42,$B$27:$B$42)</f>
        <v>0.97089852506920793</v>
      </c>
      <c r="AG27" s="14"/>
      <c r="AH27" s="14"/>
      <c r="AI27" s="14"/>
      <c r="AJ27" s="14"/>
      <c r="AK27" s="14"/>
      <c r="AN27" t="s">
        <v>49</v>
      </c>
      <c r="AO27">
        <f>COVAR($A$27:$A$42,$A$27:$A$42)</f>
        <v>11563051.625</v>
      </c>
    </row>
    <row r="28" spans="1:47">
      <c r="A28" s="1">
        <v>100061122</v>
      </c>
      <c r="B28" s="1">
        <v>100000088.5</v>
      </c>
      <c r="C28" s="1">
        <v>100259426</v>
      </c>
      <c r="D28" s="1">
        <v>100002325</v>
      </c>
      <c r="E28" s="1">
        <v>100001456</v>
      </c>
      <c r="F28" s="1">
        <v>100108632</v>
      </c>
      <c r="G28" s="1">
        <v>100001948</v>
      </c>
      <c r="H28" t="s">
        <v>44</v>
      </c>
      <c r="I28" s="12">
        <f>CORREL(A27:A42,C27:C42)</f>
        <v>0.98355161117966938</v>
      </c>
      <c r="L28" t="s">
        <v>83</v>
      </c>
      <c r="M28">
        <f>COVAR($B$27:$B$42,$A$27:$A$42)</f>
        <v>34496.868751545437</v>
      </c>
      <c r="N28">
        <f>COVAR($B$27:$B$42,$B$27:$B$42)</f>
        <v>109.17902344544883</v>
      </c>
      <c r="U28" t="s">
        <v>83</v>
      </c>
      <c r="V28" s="14">
        <f>CORREL($B$27:$B$42,$A$27:$A$42)</f>
        <v>0.97089852506920793</v>
      </c>
      <c r="W28" s="14">
        <f>CORREL($B$27:$B$42,$B$27:$B$42)</f>
        <v>0.99999999999999989</v>
      </c>
      <c r="X28" s="14"/>
      <c r="Y28" s="14"/>
      <c r="Z28" s="14"/>
      <c r="AA28" s="14"/>
      <c r="AD28" t="s">
        <v>83</v>
      </c>
      <c r="AE28" s="14">
        <f>PEARSON($B$27:$B$42,$A$27:$A$42)</f>
        <v>0.97089852506920793</v>
      </c>
      <c r="AF28" s="14">
        <f>PEARSON($B$27:$B$42,$B$27:$B$42)</f>
        <v>0.99999999999999989</v>
      </c>
      <c r="AG28" s="14"/>
      <c r="AH28" s="14"/>
      <c r="AI28" s="14"/>
      <c r="AJ28" s="14"/>
      <c r="AK28" s="14"/>
      <c r="AN28" t="s">
        <v>83</v>
      </c>
      <c r="AO28">
        <f>COVAR($B$27:$B$42,$A$27:$A$42)</f>
        <v>34496.868751545437</v>
      </c>
      <c r="AP28">
        <f>COVAR($B$27:$B$42,$B$27:$B$42)</f>
        <v>109.17902344544883</v>
      </c>
    </row>
    <row r="29" spans="1:47">
      <c r="A29" s="1">
        <v>100060171</v>
      </c>
      <c r="B29" s="1">
        <v>100000088.2</v>
      </c>
      <c r="C29" s="1">
        <v>100258054</v>
      </c>
      <c r="D29" s="1">
        <v>100003682</v>
      </c>
      <c r="E29" s="1">
        <v>100001616</v>
      </c>
      <c r="F29" s="1">
        <v>100109773</v>
      </c>
      <c r="G29" s="1">
        <v>100001949</v>
      </c>
      <c r="H29" t="s">
        <v>45</v>
      </c>
      <c r="I29" s="12">
        <f>PEARSON(A27:A42,C27:C42)</f>
        <v>0.98355161117966938</v>
      </c>
      <c r="L29" t="s">
        <v>50</v>
      </c>
      <c r="M29">
        <f>COVAR($C$27:$C$42,$A$27:$A$42)</f>
        <v>321872068.4375</v>
      </c>
      <c r="N29">
        <f>COVAR($C$27:$C$42,$B$27:$B$42)</f>
        <v>997128.85825581732</v>
      </c>
      <c r="O29">
        <f>COVAR($C$27:$C$42,$C$27:$C$42)</f>
        <v>9261894055.6210937</v>
      </c>
      <c r="U29" t="s">
        <v>50</v>
      </c>
      <c r="V29" s="14">
        <f>CORREL($C$27:$C$42,$A$27:$A$42)</f>
        <v>0.98355161117966938</v>
      </c>
      <c r="W29" s="14">
        <f>CORREL($C$27:$C$42,$B$27:$B$42)</f>
        <v>0.99158917804108493</v>
      </c>
      <c r="X29" s="14">
        <f>CORREL($C$27:$C$42,$C$27:$C$42)</f>
        <v>1</v>
      </c>
      <c r="Y29" s="14"/>
      <c r="Z29" s="14"/>
      <c r="AA29" s="14"/>
      <c r="AD29" t="s">
        <v>50</v>
      </c>
      <c r="AE29" s="14">
        <f>PEARSON($C$27:$C$42,$A$27:$A$42)</f>
        <v>0.98355161117966938</v>
      </c>
      <c r="AF29" s="14">
        <f>PEARSON($C$27:$C$42,$B$27:$B$42)</f>
        <v>0.99158917804108493</v>
      </c>
      <c r="AG29" s="14">
        <f>PEARSON($C$27:$C$42,$C$27:$C$42)</f>
        <v>1</v>
      </c>
      <c r="AH29" s="14"/>
      <c r="AI29" s="14"/>
      <c r="AJ29" s="14"/>
      <c r="AK29" s="14"/>
      <c r="AN29" t="s">
        <v>50</v>
      </c>
      <c r="AO29">
        <f>COVAR($C$27:$C$42,$A$27:$A$42)</f>
        <v>321872068.4375</v>
      </c>
      <c r="AP29">
        <f>COVAR($C$27:$C$42,$B$27:$B$42)</f>
        <v>997128.85825581732</v>
      </c>
      <c r="AQ29">
        <f>COVAR($C$27:$C$42,$C$27:$C$42)</f>
        <v>9261894055.6210937</v>
      </c>
    </row>
    <row r="30" spans="1:47">
      <c r="A30" s="1">
        <v>100061187</v>
      </c>
      <c r="B30" s="1">
        <v>100000089.5</v>
      </c>
      <c r="C30" s="1">
        <v>100284599</v>
      </c>
      <c r="D30" s="1">
        <v>100003351</v>
      </c>
      <c r="E30" s="1">
        <v>100001650</v>
      </c>
      <c r="F30" s="1">
        <v>100110929</v>
      </c>
      <c r="G30" s="1">
        <v>100001950</v>
      </c>
      <c r="H30" t="s">
        <v>46</v>
      </c>
      <c r="I30" s="12">
        <f>RSQ(A27:A42,C27:C42)</f>
        <v>0.96737377185412354</v>
      </c>
      <c r="L30" t="s">
        <v>84</v>
      </c>
      <c r="M30">
        <f>COVAR($D$27:$D$42,$A$27:$A$42)</f>
        <v>1546033.75</v>
      </c>
      <c r="N30">
        <f>COVAR($D$27:$D$42,$B$27:$B$42)</f>
        <v>5867.4996099536074</v>
      </c>
      <c r="O30">
        <f>COVAR($D$27:$D$42,$C$27:$C$42)</f>
        <v>52616596.73828125</v>
      </c>
      <c r="P30">
        <f>COVAR($D$27:$D$42,$D$27:$D$42)</f>
        <v>818646.96484375</v>
      </c>
      <c r="U30" t="s">
        <v>84</v>
      </c>
      <c r="V30" s="14">
        <f>CORREL($D$27:$D$42,$A$27:$A$42)</f>
        <v>0.50249808387599404</v>
      </c>
      <c r="W30" s="14">
        <f>CORREL($D$27:$D$42,$B$27:$B$42)</f>
        <v>0.62063339259770578</v>
      </c>
      <c r="X30" s="14">
        <f>CORREL($D$27:$D$42,$C$27:$C$42)</f>
        <v>0.60426093988955787</v>
      </c>
      <c r="Y30" s="14">
        <f>CORREL($D$27:$D$42,$D$27:$D$42)</f>
        <v>0.99999999999999989</v>
      </c>
      <c r="Z30" s="14"/>
      <c r="AA30" s="14"/>
      <c r="AD30" t="s">
        <v>84</v>
      </c>
      <c r="AE30" s="14">
        <f>PEARSON($D$27:$D$42,$A$27:$A$42)</f>
        <v>0.50249808387599404</v>
      </c>
      <c r="AF30" s="14">
        <f>PEARSON($D$27:$D$42,$B$27:$B$42)</f>
        <v>0.62063339259770578</v>
      </c>
      <c r="AG30" s="14">
        <f>PEARSON($D$27:$D$42,$C$27:$C$42)</f>
        <v>0.60426093988955787</v>
      </c>
      <c r="AH30" s="14">
        <f>PEARSON($D$27:$D$42,$D$27:$D$42)</f>
        <v>0.99999999999999989</v>
      </c>
      <c r="AI30" s="14"/>
      <c r="AJ30" s="14"/>
      <c r="AK30" s="14"/>
      <c r="AN30" t="s">
        <v>84</v>
      </c>
      <c r="AO30">
        <f>COVAR($D$27:$D$42,$A$27:$A$42)</f>
        <v>1546033.75</v>
      </c>
      <c r="AP30">
        <f>COVAR($D$27:$D$42,$B$27:$B$42)</f>
        <v>5867.4996099536074</v>
      </c>
      <c r="AQ30">
        <f>COVAR($D$27:$D$42,$C$27:$C$42)</f>
        <v>52616596.73828125</v>
      </c>
      <c r="AR30">
        <f>COVAR($D$27:$D$42,$D$27:$D$42)</f>
        <v>818646.96484375</v>
      </c>
    </row>
    <row r="31" spans="1:47">
      <c r="A31" s="1">
        <v>100063221</v>
      </c>
      <c r="B31" s="1">
        <v>100000096.2</v>
      </c>
      <c r="C31" s="1">
        <v>100328975</v>
      </c>
      <c r="D31" s="1">
        <v>100002099</v>
      </c>
      <c r="E31" s="1">
        <v>100003099</v>
      </c>
      <c r="F31" s="1">
        <v>100112075</v>
      </c>
      <c r="G31" s="1">
        <v>100001951</v>
      </c>
      <c r="L31" t="s">
        <v>85</v>
      </c>
      <c r="M31">
        <f>COVAR($E$27:$E$42,$A$27:$A$42)</f>
        <v>1047826</v>
      </c>
      <c r="N31">
        <f>COVAR($E$27:$E$42,$B$27:$B$42)</f>
        <v>3272.1128902976634</v>
      </c>
      <c r="O31">
        <f>COVAR($E$27:$E$42,$C$27:$C$42)</f>
        <v>28950401.57421875</v>
      </c>
      <c r="P31">
        <f>COVAR($E$27:$E$42,$D$27:$D$42)</f>
        <v>-108167.58984375</v>
      </c>
      <c r="Q31">
        <f>COVAR($E$27:$E$42,$E$27:$E$42)</f>
        <v>454035.08984375</v>
      </c>
      <c r="U31" t="s">
        <v>85</v>
      </c>
      <c r="V31" s="14">
        <f>CORREL($E$27:$E$42,$A$27:$A$42)</f>
        <v>0.45730739997648173</v>
      </c>
      <c r="W31" s="14">
        <f>CORREL($E$27:$E$42,$B$27:$B$42)</f>
        <v>0.46474418753726443</v>
      </c>
      <c r="X31" s="14">
        <f>CORREL($E$27:$E$42,$C$27:$C$42)</f>
        <v>0.44643679189262642</v>
      </c>
      <c r="Y31" s="14">
        <f>CORREL($E$27:$E$42,$D$27:$D$42)</f>
        <v>-0.17742062950187831</v>
      </c>
      <c r="Z31" s="14">
        <f>CORREL($E$27:$E$42,$E$27:$E$42)</f>
        <v>0.99999999999999989</v>
      </c>
      <c r="AA31" s="14"/>
      <c r="AD31" t="s">
        <v>85</v>
      </c>
      <c r="AE31" s="14">
        <f>PEARSON($E$27:$E$42,$A$27:$A$42)</f>
        <v>0.45730739997648173</v>
      </c>
      <c r="AF31" s="14">
        <f>PEARSON($E$27:$E$42,$B$27:$B$42)</f>
        <v>0.46474418753726443</v>
      </c>
      <c r="AG31" s="14">
        <f>PEARSON($E$27:$E$42,$C$27:$C$42)</f>
        <v>0.44643679189262642</v>
      </c>
      <c r="AH31" s="14">
        <f>PEARSON($E$27:$E$42,$D$27:$D$42)</f>
        <v>-0.17742062950187831</v>
      </c>
      <c r="AI31" s="14">
        <f>PEARSON($E$27:$E$42,$E$27:$E$42)</f>
        <v>0.99999999999999989</v>
      </c>
      <c r="AJ31" s="14"/>
      <c r="AK31" s="14"/>
      <c r="AN31" t="s">
        <v>85</v>
      </c>
      <c r="AO31">
        <f>COVAR($E$27:$E$42,$A$27:$A$42)</f>
        <v>1047826</v>
      </c>
      <c r="AP31">
        <f>COVAR($E$27:$E$42,$B$27:$B$42)</f>
        <v>3272.1128902976634</v>
      </c>
      <c r="AQ31">
        <f>COVAR($E$27:$E$42,$C$27:$C$42)</f>
        <v>28950401.57421875</v>
      </c>
      <c r="AR31">
        <f>COVAR($E$27:$E$42,$D$27:$D$42)</f>
        <v>-108167.58984375</v>
      </c>
      <c r="AS31">
        <f>COVAR($E$27:$E$42,$E$27:$E$42)</f>
        <v>454035.08984375</v>
      </c>
    </row>
    <row r="32" spans="1:47">
      <c r="A32" s="1">
        <v>100063639</v>
      </c>
      <c r="B32" s="1">
        <v>100000098.09999999</v>
      </c>
      <c r="C32" s="1">
        <v>100346999</v>
      </c>
      <c r="D32" s="1">
        <v>100001932</v>
      </c>
      <c r="E32" s="1">
        <v>100003594</v>
      </c>
      <c r="F32" s="1">
        <v>100113270</v>
      </c>
      <c r="G32" s="1">
        <v>100001952</v>
      </c>
      <c r="H32" t="s">
        <v>51</v>
      </c>
      <c r="J32" s="14">
        <f>STDEV(A27:A42)</f>
        <v>3511.9684129179368</v>
      </c>
      <c r="K32" s="14">
        <f>STDEV(C27:C42)</f>
        <v>99394.937786589522</v>
      </c>
      <c r="L32" t="s">
        <v>15</v>
      </c>
      <c r="M32">
        <f>COVAR($F$27:$F$42,$A$27:$A$42)</f>
        <v>21995592.875</v>
      </c>
      <c r="N32">
        <f>COVAR($F$27:$F$42,$B$27:$B$42)</f>
        <v>68909.062504837289</v>
      </c>
      <c r="O32">
        <f>COVAR($F$27:$F$42,$C$27:$C$42)</f>
        <v>642413385.5625</v>
      </c>
      <c r="P32">
        <f>COVAR($F$27:$F$42,$D$27:$D$42)</f>
        <v>4183820.1875</v>
      </c>
      <c r="Q32">
        <f>COVAR($F$27:$F$42,$E$27:$E$42)</f>
        <v>1653842</v>
      </c>
      <c r="R32">
        <f>COVAR($F$27:$F$42,$F$27:$F$42)</f>
        <v>45363139.625</v>
      </c>
      <c r="U32" t="s">
        <v>15</v>
      </c>
      <c r="V32" s="14">
        <f>CORREL($F$27:$F$42,$A$27:$A$42)</f>
        <v>0.96039057159437546</v>
      </c>
      <c r="W32" s="14">
        <f>CORREL($F$27:$F$42,$B$27:$B$42)</f>
        <v>0.97916343301058928</v>
      </c>
      <c r="X32" s="14">
        <f>CORREL($F$27:$F$42,$C$27:$C$42)</f>
        <v>0.99109006945847766</v>
      </c>
      <c r="Y32" s="14">
        <f>CORREL($F$27:$F$42,$D$27:$D$42)</f>
        <v>0.68655151636531198</v>
      </c>
      <c r="Z32" s="14">
        <f>CORREL($F$27:$F$42,$E$27:$E$42)</f>
        <v>0.36441626718903197</v>
      </c>
      <c r="AA32" s="14">
        <f>CORREL($F$27:$F$42,$F$27:$F$42)</f>
        <v>0.99999999999999989</v>
      </c>
      <c r="AD32" t="s">
        <v>15</v>
      </c>
      <c r="AE32" s="14">
        <f>PEARSON($F$27:$F$42,$A$27:$A$42)</f>
        <v>0.96039057159437546</v>
      </c>
      <c r="AF32" s="14">
        <f>PEARSON($F$27:$F$42,$B$27:$B$42)</f>
        <v>0.97916343301058928</v>
      </c>
      <c r="AG32" s="14">
        <f>PEARSON($F$27:$F$42,$C$27:$C$42)</f>
        <v>0.99109006945847766</v>
      </c>
      <c r="AH32" s="14">
        <f>PEARSON($F$27:$F$42,$D$27:$D$42)</f>
        <v>0.68655151636531198</v>
      </c>
      <c r="AI32" s="14">
        <f>PEARSON($F$27:$F$42,$E$27:$E$42)</f>
        <v>0.36441626718903197</v>
      </c>
      <c r="AJ32" s="14">
        <f>PEARSON($F$27:$F$42,$F$27:$F$42)</f>
        <v>0.99999999999999989</v>
      </c>
      <c r="AK32" s="14"/>
      <c r="AN32" t="s">
        <v>15</v>
      </c>
      <c r="AO32">
        <f>COVAR($F$27:$F$42,$A$27:$A$42)</f>
        <v>21995592.875</v>
      </c>
      <c r="AP32">
        <f>COVAR($F$27:$F$42,$B$27:$B$42)</f>
        <v>68909.062504837289</v>
      </c>
      <c r="AQ32">
        <f>COVAR($F$27:$F$42,$C$27:$C$42)</f>
        <v>642413385.5625</v>
      </c>
      <c r="AR32">
        <f>COVAR($F$27:$F$42,$D$27:$D$42)</f>
        <v>4183820.1875</v>
      </c>
      <c r="AS32">
        <f>COVAR($F$27:$F$42,$E$27:$E$42)</f>
        <v>1653842</v>
      </c>
      <c r="AT32">
        <f>COVAR($F$27:$F$42,$F$27:$F$42)</f>
        <v>45363139.625</v>
      </c>
    </row>
    <row r="33" spans="1:47">
      <c r="A33" s="1">
        <v>100064989</v>
      </c>
      <c r="B33" s="1">
        <v>100000099</v>
      </c>
      <c r="C33" s="1">
        <v>100365385</v>
      </c>
      <c r="D33" s="1">
        <v>100001870</v>
      </c>
      <c r="E33" s="1">
        <v>100003547</v>
      </c>
      <c r="F33" s="1">
        <v>100115094</v>
      </c>
      <c r="G33" s="1">
        <v>100001953</v>
      </c>
      <c r="I33" t="e">
        <f>-LOG10(ABS((I2-I27)/I27))</f>
        <v>#NUM!</v>
      </c>
      <c r="L33" t="s">
        <v>86</v>
      </c>
      <c r="M33">
        <f>COVAR($G$27:$G$42,$A$27:$A$42)</f>
        <v>15225.875</v>
      </c>
      <c r="N33">
        <f>COVAR($G$27:$G$42,$B$27:$B$42)</f>
        <v>47.740625002421439</v>
      </c>
      <c r="O33">
        <f>COVAR($G$27:$G$42,$C$27:$C$42)</f>
        <v>441541.78125</v>
      </c>
      <c r="P33">
        <f>COVAR($G$27:$G$42,$D$27:$D$42)</f>
        <v>2787.21875</v>
      </c>
      <c r="Q33">
        <f>COVAR($G$27:$G$42,$E$27:$E$42)</f>
        <v>1296.03125</v>
      </c>
      <c r="R33">
        <f>COVAR($G$27:$G$42,$F$27:$F$42)</f>
        <v>30860.0625</v>
      </c>
      <c r="S33">
        <f>COVAR($G$27:$G$42,$G$27:$G$42)</f>
        <v>21.25</v>
      </c>
      <c r="U33" t="s">
        <v>86</v>
      </c>
      <c r="V33" s="14">
        <f>CORREL($G$27:$G$42,$A$27:$A$42)</f>
        <v>0.97132945919211866</v>
      </c>
      <c r="W33" s="14">
        <f>CORREL($G$27:$G$42,$B$27:$B$42)</f>
        <v>0.99114919008139635</v>
      </c>
      <c r="X33" s="14">
        <f>CORREL($G$27:$G$42,$C$27:$C$42)</f>
        <v>0.99527348376478475</v>
      </c>
      <c r="Y33" s="14">
        <f>CORREL($G$27:$G$42,$D$27:$D$42)</f>
        <v>0.66825660456217462</v>
      </c>
      <c r="Z33" s="14">
        <f>CORREL($G$27:$G$42,$E$27:$E$42)</f>
        <v>0.41724514983494537</v>
      </c>
      <c r="AA33" s="14">
        <f>CORREL($G$27:$G$42,$F$27:$F$42)</f>
        <v>0.99395284623292546</v>
      </c>
      <c r="AB33">
        <f>CORREL($G$27:$G$42,$G$27:$G$42)</f>
        <v>1</v>
      </c>
      <c r="AD33" t="s">
        <v>86</v>
      </c>
      <c r="AE33" s="14">
        <f>PEARSON($G$27:$G$42,$A$27:$A$42)</f>
        <v>0.97132945919211866</v>
      </c>
      <c r="AF33" s="14">
        <f>PEARSON($G$27:$G$42,$B$27:$B$42)</f>
        <v>0.99114919008139635</v>
      </c>
      <c r="AG33" s="14">
        <f>PEARSON($G$27:$G$42,$C$27:$C$42)</f>
        <v>0.99527348376478475</v>
      </c>
      <c r="AH33" s="14">
        <f>PEARSON($G$27:$G$42,$D$27:$D$42)</f>
        <v>0.66825660456217462</v>
      </c>
      <c r="AI33" s="14">
        <f>PEARSON($G$27:$G$42,$E$27:$E$42)</f>
        <v>0.41724514983494537</v>
      </c>
      <c r="AJ33" s="14">
        <f>PEARSON($G$27:$G$42,$F$27:$F$42)</f>
        <v>0.99395284623292546</v>
      </c>
      <c r="AK33" s="14">
        <f>PEARSON($G$27:$G$42,$G$27:$G$42)</f>
        <v>1</v>
      </c>
      <c r="AN33" t="s">
        <v>86</v>
      </c>
      <c r="AO33">
        <f>COVAR($G$27:$G$42,$A$27:$A$42)</f>
        <v>15225.875</v>
      </c>
      <c r="AP33">
        <f>COVAR($G$27:$G$42,$B$27:$B$42)</f>
        <v>47.740625002421439</v>
      </c>
      <c r="AQ33">
        <f>COVAR($G$27:$G$42,$C$27:$C$42)</f>
        <v>441541.78125</v>
      </c>
      <c r="AR33">
        <f>COVAR($G$27:$G$42,$D$27:$D$42)</f>
        <v>2787.21875</v>
      </c>
      <c r="AS33">
        <f>COVAR($G$27:$G$42,$E$27:$E$42)</f>
        <v>1296.03125</v>
      </c>
      <c r="AT33">
        <f>COVAR($G$27:$G$42,$F$27:$F$42)</f>
        <v>30860.0625</v>
      </c>
      <c r="AU33">
        <f>COVAR($G$27:$G$42,$G$27:$G$42)</f>
        <v>21.25</v>
      </c>
    </row>
    <row r="34" spans="1:47">
      <c r="A34" s="1">
        <v>100063761</v>
      </c>
      <c r="B34" s="1">
        <v>100000100</v>
      </c>
      <c r="C34" s="1">
        <v>100363112</v>
      </c>
      <c r="D34" s="1">
        <v>100003578</v>
      </c>
      <c r="E34" s="1">
        <v>100003350</v>
      </c>
      <c r="F34" s="1">
        <v>100116219</v>
      </c>
      <c r="G34" s="1">
        <v>100001954</v>
      </c>
      <c r="I34" t="e">
        <f>-LOG10(ABS((I3-I28)/I28))</f>
        <v>#NUM!</v>
      </c>
    </row>
    <row r="35" spans="1:47">
      <c r="A35" s="1">
        <v>100066019</v>
      </c>
      <c r="B35" s="1">
        <v>100000101.2</v>
      </c>
      <c r="C35" s="1">
        <v>100397469</v>
      </c>
      <c r="D35" s="1">
        <v>100002904</v>
      </c>
      <c r="E35" s="1">
        <v>100003048</v>
      </c>
      <c r="F35" s="1">
        <v>100117388</v>
      </c>
      <c r="G35" s="1">
        <v>100001955</v>
      </c>
      <c r="I35" t="e">
        <f>-LOG10(ABS((I4-I29)/I29))</f>
        <v>#NUM!</v>
      </c>
    </row>
    <row r="36" spans="1:47">
      <c r="A36" s="1">
        <v>100067857</v>
      </c>
      <c r="B36" s="1">
        <v>100000104.59999999</v>
      </c>
      <c r="C36" s="1">
        <v>100419180</v>
      </c>
      <c r="D36" s="1">
        <v>100002822</v>
      </c>
      <c r="E36" s="1">
        <v>100002857</v>
      </c>
      <c r="F36" s="1">
        <v>100118734</v>
      </c>
      <c r="G36" s="1">
        <v>100001956</v>
      </c>
      <c r="I36" t="e">
        <f>-LOG10(ABS((I5-I30)/I30))</f>
        <v>#NUM!</v>
      </c>
    </row>
    <row r="37" spans="1:47">
      <c r="A37" s="1">
        <v>100068169</v>
      </c>
      <c r="B37" s="1">
        <v>100000108.40000001</v>
      </c>
      <c r="C37" s="1">
        <v>100442769</v>
      </c>
      <c r="D37" s="1">
        <v>100002936</v>
      </c>
      <c r="E37" s="1">
        <v>100002798</v>
      </c>
      <c r="F37" s="1">
        <v>100120445</v>
      </c>
      <c r="G37" s="1">
        <v>100001957</v>
      </c>
      <c r="L37" t="s">
        <v>43</v>
      </c>
      <c r="M37" t="s">
        <v>49</v>
      </c>
      <c r="N37" t="s">
        <v>83</v>
      </c>
      <c r="O37" t="s">
        <v>50</v>
      </c>
      <c r="P37" t="s">
        <v>84</v>
      </c>
      <c r="Q37" t="s">
        <v>85</v>
      </c>
      <c r="R37" t="s">
        <v>15</v>
      </c>
      <c r="S37" t="s">
        <v>86</v>
      </c>
      <c r="U37" t="s">
        <v>44</v>
      </c>
      <c r="V37" t="s">
        <v>49</v>
      </c>
      <c r="W37" t="s">
        <v>83</v>
      </c>
      <c r="X37" t="s">
        <v>50</v>
      </c>
      <c r="Y37" t="s">
        <v>84</v>
      </c>
      <c r="Z37" t="s">
        <v>85</v>
      </c>
      <c r="AA37" t="s">
        <v>15</v>
      </c>
      <c r="AB37" t="s">
        <v>86</v>
      </c>
      <c r="AD37" t="s">
        <v>45</v>
      </c>
      <c r="AE37" t="s">
        <v>49</v>
      </c>
      <c r="AF37" t="s">
        <v>83</v>
      </c>
      <c r="AG37" t="s">
        <v>50</v>
      </c>
      <c r="AH37" t="s">
        <v>84</v>
      </c>
      <c r="AI37" t="s">
        <v>85</v>
      </c>
      <c r="AJ37" t="s">
        <v>15</v>
      </c>
      <c r="AK37" t="s">
        <v>86</v>
      </c>
    </row>
    <row r="38" spans="1:47">
      <c r="A38" s="1">
        <v>100066513</v>
      </c>
      <c r="B38" s="1">
        <v>100000110.8</v>
      </c>
      <c r="C38" s="1">
        <v>100444546</v>
      </c>
      <c r="D38" s="1">
        <v>100004681</v>
      </c>
      <c r="E38" s="1">
        <v>100002637</v>
      </c>
      <c r="F38" s="1">
        <v>100121950</v>
      </c>
      <c r="G38" s="1">
        <v>100001958</v>
      </c>
      <c r="L38" t="s">
        <v>49</v>
      </c>
      <c r="M38">
        <v>11563051.625</v>
      </c>
      <c r="U38" t="s">
        <v>49</v>
      </c>
      <c r="V38" s="14">
        <v>1</v>
      </c>
      <c r="W38" s="14"/>
      <c r="X38" s="14"/>
      <c r="Y38" s="14"/>
      <c r="Z38" s="14"/>
      <c r="AA38" s="14"/>
      <c r="AB38" s="14"/>
      <c r="AD38" t="s">
        <v>49</v>
      </c>
      <c r="AE38" s="14">
        <v>1</v>
      </c>
      <c r="AF38" s="14">
        <v>0.97089852506105556</v>
      </c>
      <c r="AG38" s="14"/>
      <c r="AH38" s="14"/>
      <c r="AI38" s="14"/>
      <c r="AJ38" s="14"/>
      <c r="AK38" s="14"/>
    </row>
    <row r="39" spans="1:47">
      <c r="A39" s="1">
        <v>100068655</v>
      </c>
      <c r="B39" s="1">
        <v>100000112.59999999</v>
      </c>
      <c r="C39" s="1">
        <v>100482704</v>
      </c>
      <c r="D39" s="1">
        <v>100003813</v>
      </c>
      <c r="E39" s="1">
        <v>100002552</v>
      </c>
      <c r="F39" s="1">
        <v>100123366</v>
      </c>
      <c r="G39" s="1">
        <v>100001959</v>
      </c>
      <c r="L39" t="s">
        <v>83</v>
      </c>
      <c r="M39">
        <v>34496.868750000001</v>
      </c>
      <c r="N39">
        <v>109.17902343749998</v>
      </c>
      <c r="U39" t="s">
        <v>83</v>
      </c>
      <c r="V39" s="14">
        <v>0.97089852506105578</v>
      </c>
      <c r="W39" s="14">
        <v>1</v>
      </c>
      <c r="X39" s="14"/>
      <c r="Y39" s="14"/>
      <c r="Z39" s="14"/>
      <c r="AA39" s="14"/>
      <c r="AB39" s="14"/>
      <c r="AD39" t="s">
        <v>83</v>
      </c>
      <c r="AE39" s="14">
        <v>0.97089852506105556</v>
      </c>
      <c r="AF39" s="14">
        <v>1</v>
      </c>
      <c r="AG39" s="14"/>
      <c r="AH39" s="14"/>
      <c r="AI39" s="14"/>
      <c r="AJ39" s="14"/>
      <c r="AK39" s="14"/>
    </row>
    <row r="40" spans="1:47">
      <c r="A40" s="1">
        <v>100069564</v>
      </c>
      <c r="B40" s="1">
        <v>100000114.2</v>
      </c>
      <c r="C40" s="1">
        <v>100502601</v>
      </c>
      <c r="D40" s="1">
        <v>100003931</v>
      </c>
      <c r="E40" s="1">
        <v>100002514</v>
      </c>
      <c r="F40" s="1">
        <v>100125368</v>
      </c>
      <c r="G40" s="1">
        <v>100001960</v>
      </c>
      <c r="L40" t="s">
        <v>50</v>
      </c>
      <c r="M40">
        <v>321872068.4375</v>
      </c>
      <c r="N40">
        <v>997128.85820312519</v>
      </c>
      <c r="O40">
        <v>9261894055.6210937</v>
      </c>
      <c r="U40" t="s">
        <v>50</v>
      </c>
      <c r="V40" s="14">
        <v>0.98355161117966938</v>
      </c>
      <c r="W40" s="14">
        <v>0.9915891780247823</v>
      </c>
      <c r="X40" s="14">
        <v>1</v>
      </c>
      <c r="Y40" s="14"/>
      <c r="Z40" s="14"/>
      <c r="AA40" s="14"/>
      <c r="AB40" s="14"/>
      <c r="AD40" t="s">
        <v>50</v>
      </c>
      <c r="AE40" s="14">
        <v>0.98355161117966938</v>
      </c>
      <c r="AF40" s="14">
        <v>0.99158917802478219</v>
      </c>
      <c r="AG40" s="14">
        <v>1</v>
      </c>
      <c r="AH40" s="14"/>
      <c r="AI40" s="14"/>
      <c r="AJ40" s="14"/>
      <c r="AK40" s="14"/>
    </row>
    <row r="41" spans="1:47">
      <c r="A41" s="1">
        <v>100069331</v>
      </c>
      <c r="B41" s="1">
        <v>100000115.7</v>
      </c>
      <c r="C41" s="1">
        <v>100518173</v>
      </c>
      <c r="D41" s="1">
        <v>100004806</v>
      </c>
      <c r="E41" s="1">
        <v>100002572</v>
      </c>
      <c r="F41" s="1">
        <v>100127852</v>
      </c>
      <c r="G41" s="1">
        <v>100001961</v>
      </c>
      <c r="L41" t="s">
        <v>84</v>
      </c>
      <c r="M41">
        <v>1546033.75</v>
      </c>
      <c r="N41">
        <v>5867.4996093749996</v>
      </c>
      <c r="O41">
        <v>52616596.73828125</v>
      </c>
      <c r="P41">
        <v>818646.96484375</v>
      </c>
      <c r="U41" t="s">
        <v>84</v>
      </c>
      <c r="V41" s="14">
        <v>0.50249808387599404</v>
      </c>
      <c r="W41" s="14">
        <v>0.62063339255909644</v>
      </c>
      <c r="X41" s="14">
        <v>0.60426093988955787</v>
      </c>
      <c r="Y41" s="14">
        <v>1</v>
      </c>
      <c r="Z41" s="14"/>
      <c r="AA41" s="14"/>
      <c r="AB41" s="14"/>
      <c r="AD41" t="s">
        <v>84</v>
      </c>
      <c r="AE41" s="14">
        <v>0.50249808387599415</v>
      </c>
      <c r="AF41" s="14">
        <v>0.62063339255909655</v>
      </c>
      <c r="AG41" s="14">
        <v>0.60426093988955787</v>
      </c>
      <c r="AH41" s="14">
        <v>1</v>
      </c>
      <c r="AI41" s="14"/>
      <c r="AJ41" s="14"/>
      <c r="AK41" s="14"/>
    </row>
    <row r="42" spans="1:47">
      <c r="A42" s="1">
        <v>100070551</v>
      </c>
      <c r="B42" s="1">
        <v>100000116.90000001</v>
      </c>
      <c r="C42" s="1">
        <v>100554894</v>
      </c>
      <c r="D42" s="1">
        <v>100004007</v>
      </c>
      <c r="E42" s="1">
        <v>100002827</v>
      </c>
      <c r="F42" s="1">
        <v>100130081</v>
      </c>
      <c r="G42" s="1">
        <v>100001962</v>
      </c>
      <c r="L42" t="s">
        <v>85</v>
      </c>
      <c r="M42">
        <v>1047826</v>
      </c>
      <c r="N42">
        <v>3272.1128906249992</v>
      </c>
      <c r="O42">
        <v>28950401.57421875</v>
      </c>
      <c r="P42">
        <v>-108167.58984375</v>
      </c>
      <c r="Q42">
        <v>454035.08984375</v>
      </c>
      <c r="U42" t="s">
        <v>85</v>
      </c>
      <c r="V42" s="14">
        <v>0.45730739997648173</v>
      </c>
      <c r="W42" s="14">
        <v>0.46474418760067454</v>
      </c>
      <c r="X42" s="14">
        <v>0.44643679189262642</v>
      </c>
      <c r="Y42" s="14">
        <v>-0.17742062950187831</v>
      </c>
      <c r="Z42" s="14">
        <v>1</v>
      </c>
      <c r="AA42" s="14"/>
      <c r="AB42" s="14"/>
      <c r="AD42" t="s">
        <v>85</v>
      </c>
      <c r="AE42" s="14">
        <v>0.45730739997648173</v>
      </c>
      <c r="AF42" s="14">
        <v>0.46474418760067437</v>
      </c>
      <c r="AG42" s="14">
        <v>0.44643679189262642</v>
      </c>
      <c r="AH42" s="14">
        <v>-0.17742062950187834</v>
      </c>
      <c r="AI42" s="14">
        <v>1</v>
      </c>
      <c r="AJ42" s="14"/>
      <c r="AK42" s="14"/>
    </row>
    <row r="43" spans="1:47">
      <c r="A43" s="1">
        <f>AVERAGE(A27:A42)</f>
        <v>100065317</v>
      </c>
      <c r="B43" s="1">
        <f t="shared" ref="B43:G43" si="3">AVERAGE(B27:B42)</f>
        <v>100000101.68125001</v>
      </c>
      <c r="C43" s="1">
        <f t="shared" si="3"/>
        <v>100387698.4375</v>
      </c>
      <c r="D43" s="1">
        <f t="shared" si="3"/>
        <v>100003193.3125</v>
      </c>
      <c r="E43" s="1">
        <f t="shared" si="3"/>
        <v>100002606.6875</v>
      </c>
      <c r="F43" s="1">
        <f t="shared" si="3"/>
        <v>100117424</v>
      </c>
      <c r="G43" s="1">
        <f t="shared" si="3"/>
        <v>100001954.5</v>
      </c>
      <c r="L43" t="s">
        <v>15</v>
      </c>
      <c r="M43">
        <v>21995592.875</v>
      </c>
      <c r="N43">
        <v>68909.0625</v>
      </c>
      <c r="O43">
        <v>642413385.5625</v>
      </c>
      <c r="P43">
        <v>4183820.1875</v>
      </c>
      <c r="Q43">
        <v>1653842</v>
      </c>
      <c r="R43">
        <v>45363139.625</v>
      </c>
      <c r="U43" t="s">
        <v>15</v>
      </c>
      <c r="V43" s="14">
        <v>0.96039057159437546</v>
      </c>
      <c r="W43" s="14">
        <v>0.97916343297749808</v>
      </c>
      <c r="X43" s="14">
        <v>0.99109006945847766</v>
      </c>
      <c r="Y43" s="14">
        <v>0.68655151636531198</v>
      </c>
      <c r="Z43" s="14">
        <v>0.36441626718903197</v>
      </c>
      <c r="AA43" s="14">
        <v>1</v>
      </c>
      <c r="AB43" s="14"/>
      <c r="AD43" t="s">
        <v>15</v>
      </c>
      <c r="AE43" s="14">
        <v>0.96039057159437557</v>
      </c>
      <c r="AF43" s="14">
        <v>0.97916343297749808</v>
      </c>
      <c r="AG43" s="14">
        <v>0.99109006945847766</v>
      </c>
      <c r="AH43" s="14">
        <v>0.68655151636531198</v>
      </c>
      <c r="AI43" s="14">
        <v>0.36441626718903197</v>
      </c>
      <c r="AJ43" s="14">
        <v>1</v>
      </c>
      <c r="AK43" s="14"/>
    </row>
    <row r="44" spans="1:47">
      <c r="L44" t="s">
        <v>86</v>
      </c>
      <c r="M44">
        <v>15225.875</v>
      </c>
      <c r="N44">
        <v>47.740625000000001</v>
      </c>
      <c r="O44">
        <v>441541.78125</v>
      </c>
      <c r="P44">
        <v>2787.21875</v>
      </c>
      <c r="Q44">
        <v>1296.03125</v>
      </c>
      <c r="R44">
        <v>30860.0625</v>
      </c>
      <c r="S44">
        <v>21.25</v>
      </c>
      <c r="U44" t="s">
        <v>86</v>
      </c>
      <c r="V44" s="14">
        <v>0.97132945919211866</v>
      </c>
      <c r="W44" s="14">
        <v>0.99114919006720503</v>
      </c>
      <c r="X44" s="14">
        <v>0.99527348376478475</v>
      </c>
      <c r="Y44" s="14">
        <v>0.66825660456217462</v>
      </c>
      <c r="Z44" s="14">
        <v>0.41724514983494537</v>
      </c>
      <c r="AA44" s="14">
        <v>0.99395284623292546</v>
      </c>
      <c r="AB44" s="14">
        <v>1</v>
      </c>
      <c r="AD44" t="s">
        <v>86</v>
      </c>
      <c r="AE44" s="14">
        <v>0.97132945919211866</v>
      </c>
      <c r="AF44" s="14">
        <v>0.99114919006720525</v>
      </c>
      <c r="AG44" s="14">
        <v>0.99527348376478475</v>
      </c>
      <c r="AH44" s="14">
        <v>0.66825660456217462</v>
      </c>
      <c r="AI44" s="14">
        <v>0.41724514983494537</v>
      </c>
      <c r="AJ44" s="14">
        <v>0.99395284623292546</v>
      </c>
      <c r="AK44" s="14">
        <v>1</v>
      </c>
    </row>
    <row r="47" spans="1:47">
      <c r="A47" s="21">
        <f>A2-$A$20</f>
        <v>-4994</v>
      </c>
      <c r="B47" s="21">
        <f>B2-$B$20</f>
        <v>-18.681250000000006</v>
      </c>
      <c r="C47" s="21">
        <f>C2-$C$20</f>
        <v>-153409.4375</v>
      </c>
      <c r="D47" s="21">
        <f>D2-$D$20</f>
        <v>-837.3125</v>
      </c>
      <c r="E47" s="21">
        <f>E2-$E$20</f>
        <v>-1016.6875</v>
      </c>
      <c r="F47" s="21">
        <f>F2-$F$20</f>
        <v>-9816</v>
      </c>
      <c r="G47" s="21">
        <f>G2-$G$20</f>
        <v>-7.5</v>
      </c>
      <c r="L47" t="s">
        <v>43</v>
      </c>
      <c r="M47" t="s">
        <v>49</v>
      </c>
      <c r="N47" t="s">
        <v>83</v>
      </c>
      <c r="O47" t="s">
        <v>50</v>
      </c>
      <c r="P47" t="s">
        <v>84</v>
      </c>
      <c r="Q47" t="s">
        <v>85</v>
      </c>
      <c r="R47" t="s">
        <v>15</v>
      </c>
      <c r="S47" t="s">
        <v>86</v>
      </c>
      <c r="U47" t="s">
        <v>44</v>
      </c>
      <c r="V47" t="s">
        <v>49</v>
      </c>
      <c r="W47" t="s">
        <v>83</v>
      </c>
      <c r="X47" t="s">
        <v>50</v>
      </c>
      <c r="Y47" t="s">
        <v>84</v>
      </c>
      <c r="Z47" t="s">
        <v>85</v>
      </c>
      <c r="AA47" t="s">
        <v>15</v>
      </c>
      <c r="AB47" t="s">
        <v>86</v>
      </c>
      <c r="AD47" t="s">
        <v>45</v>
      </c>
      <c r="AE47" t="s">
        <v>49</v>
      </c>
      <c r="AF47" t="s">
        <v>83</v>
      </c>
      <c r="AG47" t="s">
        <v>50</v>
      </c>
      <c r="AH47" t="s">
        <v>84</v>
      </c>
      <c r="AI47" t="s">
        <v>85</v>
      </c>
      <c r="AJ47" t="s">
        <v>15</v>
      </c>
      <c r="AK47" t="s">
        <v>86</v>
      </c>
    </row>
    <row r="48" spans="1:47">
      <c r="A48" s="21">
        <f t="shared" ref="A48:A62" si="4">A3-$A$20</f>
        <v>-4195</v>
      </c>
      <c r="B48" s="21">
        <f t="shared" ref="B48:B62" si="5">B3-$B$20</f>
        <v>-13.181250000000006</v>
      </c>
      <c r="C48" s="21">
        <f t="shared" ref="C48:C62" si="6">C3-$C$20</f>
        <v>-128272.4375</v>
      </c>
      <c r="D48" s="21">
        <f t="shared" ref="D48:D62" si="7">D3-$D$20</f>
        <v>-868.3125</v>
      </c>
      <c r="E48" s="21">
        <f t="shared" ref="E48:E62" si="8">E3-$E$20</f>
        <v>-1150.6875</v>
      </c>
      <c r="F48" s="21">
        <f t="shared" ref="F48:F62" si="9">F3-$F$20</f>
        <v>-8792</v>
      </c>
      <c r="G48" s="21">
        <f t="shared" ref="G48:G62" si="10">G3-$G$20</f>
        <v>-6.5</v>
      </c>
      <c r="L48" t="s">
        <v>49</v>
      </c>
      <c r="M48" s="1" t="e">
        <f ca="1">[1]!NewLRE(M27,M38)</f>
        <v>#NAME?</v>
      </c>
      <c r="N48" s="1"/>
      <c r="O48" s="1"/>
      <c r="P48" s="1"/>
      <c r="Q48" s="1"/>
      <c r="R48" s="1"/>
      <c r="S48" s="1"/>
      <c r="V48" s="1" t="e">
        <f ca="1">[1]!NewLRE(V38,V27)</f>
        <v>#NAME?</v>
      </c>
      <c r="W48" s="1"/>
      <c r="X48" s="1"/>
      <c r="Y48" s="1"/>
      <c r="Z48" s="1"/>
      <c r="AA48" s="1"/>
      <c r="AB48" s="1"/>
      <c r="AD48" t="s">
        <v>49</v>
      </c>
      <c r="AE48" s="1" t="e">
        <f ca="1">[1]!NewLRE(AE38,AE27)</f>
        <v>#NAME?</v>
      </c>
      <c r="AF48" s="1"/>
      <c r="AG48" s="1"/>
      <c r="AH48" s="1"/>
      <c r="AI48" s="1"/>
      <c r="AJ48" s="1"/>
      <c r="AK48" s="1"/>
    </row>
    <row r="49" spans="1:37">
      <c r="A49" s="21">
        <f t="shared" si="4"/>
        <v>-5146</v>
      </c>
      <c r="B49" s="21">
        <f t="shared" si="5"/>
        <v>-13.481250000000003</v>
      </c>
      <c r="C49" s="21">
        <f t="shared" si="6"/>
        <v>-129644.4375</v>
      </c>
      <c r="D49" s="21">
        <f t="shared" si="7"/>
        <v>488.6875</v>
      </c>
      <c r="E49" s="21">
        <f t="shared" si="8"/>
        <v>-990.6875</v>
      </c>
      <c r="F49" s="21">
        <f t="shared" si="9"/>
        <v>-7651</v>
      </c>
      <c r="G49" s="21">
        <f t="shared" si="10"/>
        <v>-5.5</v>
      </c>
      <c r="L49" t="s">
        <v>83</v>
      </c>
      <c r="M49" s="1" t="e">
        <f ca="1">[1]!NewLRE(M28,M39)</f>
        <v>#NAME?</v>
      </c>
      <c r="N49" s="1" t="e">
        <f ca="1">[1]!NewLRE(N28,N39)</f>
        <v>#NAME?</v>
      </c>
      <c r="O49" s="1"/>
      <c r="P49" s="1"/>
      <c r="Q49" s="1"/>
      <c r="R49" s="1"/>
      <c r="S49" s="1"/>
      <c r="V49" s="1" t="e">
        <f ca="1">[1]!NewLRE(V39,V28)</f>
        <v>#NAME?</v>
      </c>
      <c r="W49" s="1" t="e">
        <f ca="1">[1]!NewLRE(W39,W28)</f>
        <v>#NAME?</v>
      </c>
      <c r="X49" s="1"/>
      <c r="Y49" s="1"/>
      <c r="Z49" s="1"/>
      <c r="AA49" s="1"/>
      <c r="AB49" s="1"/>
      <c r="AD49" t="s">
        <v>83</v>
      </c>
      <c r="AE49" s="1" t="e">
        <f ca="1">[1]!NewLRE(AE39,AE28)</f>
        <v>#NAME?</v>
      </c>
      <c r="AF49" s="1" t="e">
        <f ca="1">[1]!NewLRE(AF39,AF28)</f>
        <v>#NAME?</v>
      </c>
      <c r="AG49" s="1"/>
      <c r="AH49" s="1"/>
      <c r="AI49" s="1"/>
      <c r="AJ49" s="1"/>
      <c r="AK49" s="1"/>
    </row>
    <row r="50" spans="1:37">
      <c r="A50" s="21">
        <f t="shared" si="4"/>
        <v>-4130</v>
      </c>
      <c r="B50" s="21">
        <f t="shared" si="5"/>
        <v>-12.181250000000006</v>
      </c>
      <c r="C50" s="21">
        <f t="shared" si="6"/>
        <v>-103099.4375</v>
      </c>
      <c r="D50" s="21">
        <f t="shared" si="7"/>
        <v>157.6875</v>
      </c>
      <c r="E50" s="21">
        <f t="shared" si="8"/>
        <v>-956.6875</v>
      </c>
      <c r="F50" s="21">
        <f t="shared" si="9"/>
        <v>-6495</v>
      </c>
      <c r="G50" s="21">
        <f t="shared" si="10"/>
        <v>-4.5</v>
      </c>
      <c r="L50" t="s">
        <v>50</v>
      </c>
      <c r="M50" s="1" t="e">
        <f ca="1">[1]!NewLRE(M29,M40)</f>
        <v>#NAME?</v>
      </c>
      <c r="N50" s="1" t="e">
        <f ca="1">[1]!NewLRE(N29,N40)</f>
        <v>#NAME?</v>
      </c>
      <c r="O50" s="1" t="e">
        <f ca="1">[1]!NewLRE(O29,O40)</f>
        <v>#NAME?</v>
      </c>
      <c r="P50" s="1"/>
      <c r="Q50" s="1"/>
      <c r="R50" s="1"/>
      <c r="S50" s="1"/>
      <c r="V50" s="1" t="e">
        <f ca="1">[1]!NewLRE(V40,V29)</f>
        <v>#NAME?</v>
      </c>
      <c r="W50" s="1" t="e">
        <f ca="1">[1]!NewLRE(W40,W29)</f>
        <v>#NAME?</v>
      </c>
      <c r="X50" s="1" t="e">
        <f ca="1">[1]!NewLRE(X40,X29)</f>
        <v>#NAME?</v>
      </c>
      <c r="Y50" s="1"/>
      <c r="Z50" s="1"/>
      <c r="AA50" s="1"/>
      <c r="AB50" s="1"/>
      <c r="AD50" t="s">
        <v>50</v>
      </c>
      <c r="AE50" s="1" t="e">
        <f ca="1">[1]!NewLRE(AE40,AE29)</f>
        <v>#NAME?</v>
      </c>
      <c r="AF50" s="1" t="e">
        <f ca="1">[1]!NewLRE(AF40,AF29)</f>
        <v>#NAME?</v>
      </c>
      <c r="AG50" s="1" t="e">
        <f ca="1">[1]!NewLRE(AG40,AG29)</f>
        <v>#NAME?</v>
      </c>
      <c r="AH50" s="1"/>
      <c r="AI50" s="1"/>
      <c r="AJ50" s="1"/>
      <c r="AK50" s="1"/>
    </row>
    <row r="51" spans="1:37">
      <c r="A51" s="21">
        <f t="shared" si="4"/>
        <v>-2096</v>
      </c>
      <c r="B51" s="21">
        <f t="shared" si="5"/>
        <v>-5.4812500000000028</v>
      </c>
      <c r="C51" s="21">
        <f t="shared" si="6"/>
        <v>-58723.4375</v>
      </c>
      <c r="D51" s="21">
        <f t="shared" si="7"/>
        <v>-1094.3125</v>
      </c>
      <c r="E51" s="21">
        <f t="shared" si="8"/>
        <v>492.3125</v>
      </c>
      <c r="F51" s="21">
        <f t="shared" si="9"/>
        <v>-5349</v>
      </c>
      <c r="G51" s="21">
        <f t="shared" si="10"/>
        <v>-3.5</v>
      </c>
      <c r="L51" t="s">
        <v>84</v>
      </c>
      <c r="M51" s="1" t="e">
        <f ca="1">[1]!NewLRE(M30,M41)</f>
        <v>#NAME?</v>
      </c>
      <c r="N51" s="1" t="e">
        <f ca="1">[1]!NewLRE(N30,N41)</f>
        <v>#NAME?</v>
      </c>
      <c r="O51" s="1" t="e">
        <f ca="1">[1]!NewLRE(O30,O41)</f>
        <v>#NAME?</v>
      </c>
      <c r="P51" s="1" t="e">
        <f ca="1">[1]!NewLRE(P30,P41)</f>
        <v>#NAME?</v>
      </c>
      <c r="Q51" s="1"/>
      <c r="R51" s="1"/>
      <c r="S51" s="1"/>
      <c r="V51" s="1" t="e">
        <f ca="1">[1]!NewLRE(V41,V30)</f>
        <v>#NAME?</v>
      </c>
      <c r="W51" s="1" t="e">
        <f ca="1">[1]!NewLRE(W41,W30)</f>
        <v>#NAME?</v>
      </c>
      <c r="X51" s="1" t="e">
        <f ca="1">[1]!NewLRE(X41,X30)</f>
        <v>#NAME?</v>
      </c>
      <c r="Y51" s="1" t="e">
        <f ca="1">[1]!NewLRE(Y41,Y30)</f>
        <v>#NAME?</v>
      </c>
      <c r="Z51" s="1"/>
      <c r="AA51" s="1"/>
      <c r="AB51" s="1"/>
      <c r="AD51" t="s">
        <v>84</v>
      </c>
      <c r="AE51" s="1" t="e">
        <f ca="1">[1]!NewLRE(AE41,AE30)</f>
        <v>#NAME?</v>
      </c>
      <c r="AF51" s="1" t="e">
        <f ca="1">[1]!NewLRE(AF41,AF30)</f>
        <v>#NAME?</v>
      </c>
      <c r="AG51" s="1" t="e">
        <f ca="1">[1]!NewLRE(AG41,AG30)</f>
        <v>#NAME?</v>
      </c>
      <c r="AH51" s="1" t="e">
        <f ca="1">[1]!NewLRE(AH41,AH30)</f>
        <v>#NAME?</v>
      </c>
      <c r="AI51" s="1"/>
      <c r="AJ51" s="1"/>
      <c r="AK51" s="1"/>
    </row>
    <row r="52" spans="1:37">
      <c r="A52" s="21">
        <f t="shared" si="4"/>
        <v>-1678</v>
      </c>
      <c r="B52" s="21">
        <f t="shared" si="5"/>
        <v>-3.5812500000000114</v>
      </c>
      <c r="C52" s="21">
        <f t="shared" si="6"/>
        <v>-40699.4375</v>
      </c>
      <c r="D52" s="21">
        <f t="shared" si="7"/>
        <v>-1261.3125</v>
      </c>
      <c r="E52" s="21">
        <f t="shared" si="8"/>
        <v>987.3125</v>
      </c>
      <c r="F52" s="21">
        <f t="shared" si="9"/>
        <v>-4154</v>
      </c>
      <c r="G52" s="21">
        <f t="shared" si="10"/>
        <v>-2.5</v>
      </c>
      <c r="L52" t="s">
        <v>85</v>
      </c>
      <c r="M52" s="1" t="e">
        <f ca="1">[1]!NewLRE(M31,M42)</f>
        <v>#NAME?</v>
      </c>
      <c r="N52" s="1" t="e">
        <f ca="1">[1]!NewLRE(N31,N42)</f>
        <v>#NAME?</v>
      </c>
      <c r="O52" s="1" t="e">
        <f ca="1">[1]!NewLRE(O31,O42)</f>
        <v>#NAME?</v>
      </c>
      <c r="P52" s="1" t="e">
        <f ca="1">[1]!NewLRE(P31,P42)</f>
        <v>#NAME?</v>
      </c>
      <c r="Q52" s="1" t="e">
        <f ca="1">[1]!NewLRE(Q31,Q42)</f>
        <v>#NAME?</v>
      </c>
      <c r="R52" s="1"/>
      <c r="S52" s="1"/>
      <c r="V52" s="1" t="e">
        <f ca="1">[1]!NewLRE(V42,V31)</f>
        <v>#NAME?</v>
      </c>
      <c r="W52" s="1" t="e">
        <f ca="1">[1]!NewLRE(W42,W31)</f>
        <v>#NAME?</v>
      </c>
      <c r="X52" s="1" t="e">
        <f ca="1">[1]!NewLRE(X42,X31)</f>
        <v>#NAME?</v>
      </c>
      <c r="Y52" s="1" t="e">
        <f ca="1">[1]!NewLRE(Y42,Y31)</f>
        <v>#NAME?</v>
      </c>
      <c r="Z52" s="1" t="e">
        <f ca="1">[1]!NewLRE(Z42,Z31)</f>
        <v>#NAME?</v>
      </c>
      <c r="AA52" s="1"/>
      <c r="AB52" s="1"/>
      <c r="AD52" t="s">
        <v>85</v>
      </c>
      <c r="AE52" s="1" t="e">
        <f ca="1">[1]!NewLRE(AE42,AE31)</f>
        <v>#NAME?</v>
      </c>
      <c r="AF52" s="1" t="e">
        <f ca="1">[1]!NewLRE(AF42,AF31)</f>
        <v>#NAME?</v>
      </c>
      <c r="AG52" s="1" t="e">
        <f ca="1">[1]!NewLRE(AG42,AG31)</f>
        <v>#NAME?</v>
      </c>
      <c r="AH52" s="1" t="e">
        <f ca="1">[1]!NewLRE(AH42,AH31)</f>
        <v>#NAME?</v>
      </c>
      <c r="AI52" s="1" t="e">
        <f ca="1">[1]!NewLRE(AI42,AI31)</f>
        <v>#NAME?</v>
      </c>
      <c r="AJ52" s="1"/>
      <c r="AK52" s="1"/>
    </row>
    <row r="53" spans="1:37">
      <c r="A53" s="21">
        <f t="shared" si="4"/>
        <v>-328</v>
      </c>
      <c r="B53" s="21">
        <f t="shared" si="5"/>
        <v>-2.6812500000000057</v>
      </c>
      <c r="C53" s="21">
        <f t="shared" si="6"/>
        <v>-22313.4375</v>
      </c>
      <c r="D53" s="21">
        <f t="shared" si="7"/>
        <v>-1323.3125</v>
      </c>
      <c r="E53" s="21">
        <f t="shared" si="8"/>
        <v>940.3125</v>
      </c>
      <c r="F53" s="21">
        <f t="shared" si="9"/>
        <v>-2330</v>
      </c>
      <c r="G53" s="21">
        <f t="shared" si="10"/>
        <v>-1.5</v>
      </c>
      <c r="L53" t="s">
        <v>15</v>
      </c>
      <c r="M53" s="1" t="e">
        <f ca="1">[1]!NewLRE(M32,M43)</f>
        <v>#NAME?</v>
      </c>
      <c r="N53" s="1" t="e">
        <f ca="1">[1]!NewLRE(N32,N43)</f>
        <v>#NAME?</v>
      </c>
      <c r="O53" s="1" t="e">
        <f ca="1">[1]!NewLRE(O32,O43)</f>
        <v>#NAME?</v>
      </c>
      <c r="P53" s="1" t="e">
        <f ca="1">[1]!NewLRE(P32,P43)</f>
        <v>#NAME?</v>
      </c>
      <c r="Q53" s="1" t="e">
        <f ca="1">[1]!NewLRE(Q32,Q43)</f>
        <v>#NAME?</v>
      </c>
      <c r="R53" s="1" t="e">
        <f ca="1">[1]!NewLRE(R32,R43)</f>
        <v>#NAME?</v>
      </c>
      <c r="S53" s="1"/>
      <c r="V53" s="1" t="e">
        <f ca="1">[1]!NewLRE(V43,V32)</f>
        <v>#NAME?</v>
      </c>
      <c r="W53" s="1" t="e">
        <f ca="1">[1]!NewLRE(W43,W32)</f>
        <v>#NAME?</v>
      </c>
      <c r="X53" s="1" t="e">
        <f ca="1">[1]!NewLRE(X43,X32)</f>
        <v>#NAME?</v>
      </c>
      <c r="Y53" s="1" t="e">
        <f ca="1">[1]!NewLRE(Y43,Y32)</f>
        <v>#NAME?</v>
      </c>
      <c r="Z53" s="1" t="e">
        <f ca="1">[1]!NewLRE(Z43,Z32)</f>
        <v>#NAME?</v>
      </c>
      <c r="AA53" s="1" t="e">
        <f ca="1">[1]!NewLRE(AA43,AA32)</f>
        <v>#NAME?</v>
      </c>
      <c r="AB53" s="1"/>
      <c r="AD53" t="s">
        <v>15</v>
      </c>
      <c r="AE53" s="1" t="e">
        <f ca="1">[1]!NewLRE(AE43,AE32)</f>
        <v>#NAME?</v>
      </c>
      <c r="AF53" s="1" t="e">
        <f ca="1">[1]!NewLRE(AF43,AF32)</f>
        <v>#NAME?</v>
      </c>
      <c r="AG53" s="1" t="e">
        <f ca="1">[1]!NewLRE(AG43,AG32)</f>
        <v>#NAME?</v>
      </c>
      <c r="AH53" s="1" t="e">
        <f ca="1">[1]!NewLRE(AH43,AH32)</f>
        <v>#NAME?</v>
      </c>
      <c r="AI53" s="1" t="e">
        <f ca="1">[1]!NewLRE(AI43,AI32)</f>
        <v>#NAME?</v>
      </c>
      <c r="AJ53" s="1" t="e">
        <f ca="1">[1]!NewLRE(AJ43,AJ32)</f>
        <v>#NAME?</v>
      </c>
      <c r="AK53" s="1"/>
    </row>
    <row r="54" spans="1:37">
      <c r="A54" s="21">
        <f t="shared" si="4"/>
        <v>-1556</v>
      </c>
      <c r="B54" s="21">
        <f t="shared" si="5"/>
        <v>-1.6812500000000057</v>
      </c>
      <c r="C54" s="21">
        <f t="shared" si="6"/>
        <v>-24586.4375</v>
      </c>
      <c r="D54" s="21">
        <f t="shared" si="7"/>
        <v>384.6875</v>
      </c>
      <c r="E54" s="21">
        <f t="shared" si="8"/>
        <v>743.3125</v>
      </c>
      <c r="F54" s="21">
        <f t="shared" si="9"/>
        <v>-1205</v>
      </c>
      <c r="G54" s="21">
        <f t="shared" si="10"/>
        <v>-0.5</v>
      </c>
      <c r="L54" t="s">
        <v>86</v>
      </c>
      <c r="M54" s="1" t="e">
        <f ca="1">[1]!NewLRE(M33,M44)</f>
        <v>#NAME?</v>
      </c>
      <c r="N54" s="1" t="e">
        <f ca="1">[1]!NewLRE(N33,N44)</f>
        <v>#NAME?</v>
      </c>
      <c r="O54" s="1" t="e">
        <f ca="1">[1]!NewLRE(O33,O44)</f>
        <v>#NAME?</v>
      </c>
      <c r="P54" s="1" t="e">
        <f ca="1">[1]!NewLRE(P33,P44)</f>
        <v>#NAME?</v>
      </c>
      <c r="Q54" s="1" t="e">
        <f ca="1">[1]!NewLRE(Q33,Q44)</f>
        <v>#NAME?</v>
      </c>
      <c r="R54" s="1" t="e">
        <f ca="1">[1]!NewLRE(R33,R44)</f>
        <v>#NAME?</v>
      </c>
      <c r="S54" s="1" t="e">
        <f ca="1">[1]!NewLRE(S33,S44)</f>
        <v>#NAME?</v>
      </c>
      <c r="V54" s="1" t="e">
        <f ca="1">[1]!NewLRE(V44,V33)</f>
        <v>#NAME?</v>
      </c>
      <c r="W54" s="1" t="e">
        <f ca="1">[1]!NewLRE(W44,W33)</f>
        <v>#NAME?</v>
      </c>
      <c r="X54" s="1" t="e">
        <f ca="1">[1]!NewLRE(X44,X33)</f>
        <v>#NAME?</v>
      </c>
      <c r="Y54" s="1" t="e">
        <f ca="1">[1]!NewLRE(Y44,Y33)</f>
        <v>#NAME?</v>
      </c>
      <c r="Z54" s="1" t="e">
        <f ca="1">[1]!NewLRE(Z44,Z33)</f>
        <v>#NAME?</v>
      </c>
      <c r="AA54" s="1" t="e">
        <f ca="1">[1]!NewLRE(AA44,AA33)</f>
        <v>#NAME?</v>
      </c>
      <c r="AB54" s="1" t="e">
        <f ca="1">[1]!NewLRE(AB44,AB33)</f>
        <v>#NAME?</v>
      </c>
      <c r="AD54" t="s">
        <v>86</v>
      </c>
      <c r="AE54" s="1" t="e">
        <f ca="1">[1]!NewLRE(AE44,AE33)</f>
        <v>#NAME?</v>
      </c>
      <c r="AF54" s="1" t="e">
        <f ca="1">[1]!NewLRE(AF44,AF33)</f>
        <v>#NAME?</v>
      </c>
      <c r="AG54" s="1" t="e">
        <f ca="1">[1]!NewLRE(AG44,AG33)</f>
        <v>#NAME?</v>
      </c>
      <c r="AH54" s="1" t="e">
        <f ca="1">[1]!NewLRE(AH44,AH33)</f>
        <v>#NAME?</v>
      </c>
      <c r="AI54" s="1" t="e">
        <f ca="1">[1]!NewLRE(AI44,AI33)</f>
        <v>#NAME?</v>
      </c>
      <c r="AJ54" s="1" t="e">
        <f ca="1">[1]!NewLRE(AJ44,AJ33)</f>
        <v>#NAME?</v>
      </c>
      <c r="AK54" s="1" t="e">
        <f ca="1">[1]!NewLRE(AK44,AK33)</f>
        <v>#NAME?</v>
      </c>
    </row>
    <row r="55" spans="1:37">
      <c r="A55" s="21">
        <f t="shared" si="4"/>
        <v>702</v>
      </c>
      <c r="B55" s="21">
        <f t="shared" si="5"/>
        <v>-0.48125000000000284</v>
      </c>
      <c r="C55" s="21">
        <f t="shared" si="6"/>
        <v>9770.5625</v>
      </c>
      <c r="D55" s="21">
        <f t="shared" si="7"/>
        <v>-289.3125</v>
      </c>
      <c r="E55" s="21">
        <f t="shared" si="8"/>
        <v>441.3125</v>
      </c>
      <c r="F55" s="21">
        <f t="shared" si="9"/>
        <v>-36</v>
      </c>
      <c r="G55" s="21">
        <f t="shared" si="10"/>
        <v>0.5</v>
      </c>
    </row>
    <row r="56" spans="1:37">
      <c r="A56" s="21">
        <f t="shared" si="4"/>
        <v>2540</v>
      </c>
      <c r="B56" s="21">
        <f t="shared" si="5"/>
        <v>2.9187499999999886</v>
      </c>
      <c r="C56" s="21">
        <f t="shared" si="6"/>
        <v>31481.5625</v>
      </c>
      <c r="D56" s="21">
        <f t="shared" si="7"/>
        <v>-371.3125</v>
      </c>
      <c r="E56" s="21">
        <f t="shared" si="8"/>
        <v>250.3125</v>
      </c>
      <c r="F56" s="21">
        <f t="shared" si="9"/>
        <v>1310</v>
      </c>
      <c r="G56" s="21">
        <f t="shared" si="10"/>
        <v>1.5</v>
      </c>
    </row>
    <row r="57" spans="1:37">
      <c r="A57" s="21">
        <f t="shared" si="4"/>
        <v>2852</v>
      </c>
      <c r="B57" s="21">
        <f t="shared" si="5"/>
        <v>6.71875</v>
      </c>
      <c r="C57" s="21">
        <f t="shared" si="6"/>
        <v>55070.5625</v>
      </c>
      <c r="D57" s="21">
        <f t="shared" si="7"/>
        <v>-257.3125</v>
      </c>
      <c r="E57" s="21">
        <f t="shared" si="8"/>
        <v>191.3125</v>
      </c>
      <c r="F57" s="21">
        <f t="shared" si="9"/>
        <v>3021</v>
      </c>
      <c r="G57" s="21">
        <f t="shared" si="10"/>
        <v>2.5</v>
      </c>
    </row>
    <row r="58" spans="1:37">
      <c r="A58" s="21">
        <f t="shared" si="4"/>
        <v>1196</v>
      </c>
      <c r="B58" s="21">
        <f t="shared" si="5"/>
        <v>9.1187499999999915</v>
      </c>
      <c r="C58" s="21">
        <f t="shared" si="6"/>
        <v>56847.5625</v>
      </c>
      <c r="D58" s="21">
        <f t="shared" si="7"/>
        <v>1487.6875</v>
      </c>
      <c r="E58" s="21">
        <f t="shared" si="8"/>
        <v>30.3125</v>
      </c>
      <c r="F58" s="21">
        <f t="shared" si="9"/>
        <v>4526</v>
      </c>
      <c r="G58" s="21">
        <f t="shared" si="10"/>
        <v>3.5</v>
      </c>
      <c r="M58" s="1" t="e">
        <f ca="1">[1]!NewLRE(M2,M11)</f>
        <v>#NAME?</v>
      </c>
      <c r="N58" s="1"/>
      <c r="O58" s="1"/>
      <c r="P58" s="1"/>
      <c r="Q58" s="1"/>
      <c r="R58" s="1"/>
      <c r="S58" s="1"/>
      <c r="V58" s="1" t="e">
        <f ca="1">[1]!NewLRE(V2,V11)</f>
        <v>#NAME?</v>
      </c>
      <c r="W58" s="1"/>
      <c r="X58" s="1"/>
      <c r="Y58" s="1"/>
      <c r="Z58" s="1"/>
      <c r="AA58" s="1"/>
      <c r="AB58" s="1"/>
    </row>
    <row r="59" spans="1:37">
      <c r="A59" s="21">
        <f t="shared" si="4"/>
        <v>3338</v>
      </c>
      <c r="B59" s="21">
        <f t="shared" si="5"/>
        <v>10.918749999999989</v>
      </c>
      <c r="C59" s="21">
        <f t="shared" si="6"/>
        <v>95005.5625</v>
      </c>
      <c r="D59" s="21">
        <f t="shared" si="7"/>
        <v>619.6875</v>
      </c>
      <c r="E59" s="21">
        <f t="shared" si="8"/>
        <v>-54.6875</v>
      </c>
      <c r="F59" s="21">
        <f t="shared" si="9"/>
        <v>5942</v>
      </c>
      <c r="G59" s="21">
        <f t="shared" si="10"/>
        <v>4.5</v>
      </c>
      <c r="M59" s="1" t="e">
        <f ca="1">[1]!NewLRE(M3,M12)</f>
        <v>#NAME?</v>
      </c>
      <c r="N59" s="1" t="e">
        <f ca="1">[1]!NewLRE(N3,N39)</f>
        <v>#NAME?</v>
      </c>
      <c r="O59" s="1"/>
      <c r="P59" s="1"/>
      <c r="Q59" s="1"/>
      <c r="R59" s="1"/>
      <c r="S59" s="1"/>
      <c r="V59" s="1" t="e">
        <f ca="1">[1]!NewLRE(V3,V12)</f>
        <v>#NAME?</v>
      </c>
      <c r="W59" s="1" t="e">
        <f ca="1">[1]!NewLRE(W3,W12)</f>
        <v>#NAME?</v>
      </c>
      <c r="X59" s="1"/>
      <c r="Y59" s="1"/>
      <c r="Z59" s="1"/>
      <c r="AA59" s="1"/>
      <c r="AB59" s="1"/>
      <c r="AE59" t="e">
        <f ca="1">[2]!LRE(AE38,V38)</f>
        <v>#NAME?</v>
      </c>
    </row>
    <row r="60" spans="1:37">
      <c r="A60" s="21">
        <f t="shared" si="4"/>
        <v>4247</v>
      </c>
      <c r="B60" s="21">
        <f t="shared" si="5"/>
        <v>12.518749999999997</v>
      </c>
      <c r="C60" s="21">
        <f t="shared" si="6"/>
        <v>114902.5625</v>
      </c>
      <c r="D60" s="21">
        <f t="shared" si="7"/>
        <v>737.6875</v>
      </c>
      <c r="E60" s="21">
        <f t="shared" si="8"/>
        <v>-92.6875</v>
      </c>
      <c r="F60" s="21">
        <f t="shared" si="9"/>
        <v>7944</v>
      </c>
      <c r="G60" s="21">
        <f t="shared" si="10"/>
        <v>5.5</v>
      </c>
      <c r="M60" s="1" t="e">
        <f ca="1">[1]!NewLRE(M4,M13)</f>
        <v>#NAME?</v>
      </c>
      <c r="N60" s="1" t="e">
        <f ca="1">[1]!NewLRE(N4,N40)</f>
        <v>#NAME?</v>
      </c>
      <c r="O60" s="1" t="e">
        <f ca="1">[1]!NewLRE(O4,O40)</f>
        <v>#NAME?</v>
      </c>
      <c r="P60" s="1"/>
      <c r="Q60" s="1"/>
      <c r="R60" s="1"/>
      <c r="S60" s="1"/>
      <c r="V60" s="1" t="e">
        <f ca="1">[1]!NewLRE(V4,V13)</f>
        <v>#NAME?</v>
      </c>
      <c r="W60" s="1" t="e">
        <f ca="1">[1]!NewLRE(W4,W13)</f>
        <v>#NAME?</v>
      </c>
      <c r="X60" s="1" t="e">
        <f ca="1">[1]!NewLRE(X4,X13)</f>
        <v>#NAME?</v>
      </c>
      <c r="Y60" s="1"/>
      <c r="Z60" s="1"/>
      <c r="AA60" s="1"/>
      <c r="AB60" s="1"/>
      <c r="AE60" t="e">
        <f ca="1">[2]!LRE(AE39,V39)</f>
        <v>#NAME?</v>
      </c>
      <c r="AF60" t="e">
        <f ca="1">[2]!LRE(AF39,W39)</f>
        <v>#NAME?</v>
      </c>
    </row>
    <row r="61" spans="1:37">
      <c r="A61" s="21">
        <f t="shared" si="4"/>
        <v>4014</v>
      </c>
      <c r="B61" s="21">
        <f t="shared" si="5"/>
        <v>14.018749999999997</v>
      </c>
      <c r="C61" s="21">
        <f t="shared" si="6"/>
        <v>130474.5625</v>
      </c>
      <c r="D61" s="21">
        <f t="shared" si="7"/>
        <v>1612.6875</v>
      </c>
      <c r="E61" s="21">
        <f t="shared" si="8"/>
        <v>-34.6875</v>
      </c>
      <c r="F61" s="21">
        <f t="shared" si="9"/>
        <v>10428</v>
      </c>
      <c r="G61" s="21">
        <f t="shared" si="10"/>
        <v>6.5</v>
      </c>
      <c r="M61" s="1" t="e">
        <f ca="1">[1]!NewLRE(M5,M14)</f>
        <v>#NAME?</v>
      </c>
      <c r="N61" s="1" t="e">
        <f ca="1">[1]!NewLRE(N5,N41)</f>
        <v>#NAME?</v>
      </c>
      <c r="O61" s="1" t="e">
        <f ca="1">[1]!NewLRE(O5,O41)</f>
        <v>#NAME?</v>
      </c>
      <c r="P61" s="1" t="e">
        <f ca="1">[1]!NewLRE(P5,P41)</f>
        <v>#NAME?</v>
      </c>
      <c r="Q61" s="1"/>
      <c r="R61" s="1"/>
      <c r="S61" s="1"/>
      <c r="V61" s="1" t="e">
        <f ca="1">[1]!NewLRE(V5,V14)</f>
        <v>#NAME?</v>
      </c>
      <c r="W61" s="1" t="e">
        <f ca="1">[1]!NewLRE(W5,W14)</f>
        <v>#NAME?</v>
      </c>
      <c r="X61" s="1" t="e">
        <f ca="1">[1]!NewLRE(X5,X14)</f>
        <v>#NAME?</v>
      </c>
      <c r="Y61" s="1" t="e">
        <f ca="1">[1]!NewLRE(Y5,Y14)</f>
        <v>#NAME?</v>
      </c>
      <c r="Z61" s="1"/>
      <c r="AA61" s="1"/>
      <c r="AB61" s="1"/>
      <c r="AE61" t="e">
        <f ca="1">[2]!LRE(AE40,V40)</f>
        <v>#NAME?</v>
      </c>
      <c r="AF61" t="e">
        <f ca="1">[2]!LRE(AF40,W40)</f>
        <v>#NAME?</v>
      </c>
      <c r="AG61" t="e">
        <f ca="1">[2]!LRE(AG40,X40)</f>
        <v>#NAME?</v>
      </c>
    </row>
    <row r="62" spans="1:37">
      <c r="A62" s="21">
        <f t="shared" si="4"/>
        <v>5234</v>
      </c>
      <c r="B62" s="21">
        <f t="shared" si="5"/>
        <v>15.21875</v>
      </c>
      <c r="C62" s="21">
        <f t="shared" si="6"/>
        <v>167195.5625</v>
      </c>
      <c r="D62" s="21">
        <f t="shared" si="7"/>
        <v>813.6875</v>
      </c>
      <c r="E62" s="21">
        <f t="shared" si="8"/>
        <v>220.3125</v>
      </c>
      <c r="F62" s="21">
        <f t="shared" si="9"/>
        <v>12657</v>
      </c>
      <c r="G62" s="21">
        <f t="shared" si="10"/>
        <v>7.5</v>
      </c>
      <c r="M62" s="1" t="e">
        <f ca="1">[1]!NewLRE(M6,M15)</f>
        <v>#NAME?</v>
      </c>
      <c r="N62" s="1" t="e">
        <f ca="1">[1]!NewLRE(N6,N42)</f>
        <v>#NAME?</v>
      </c>
      <c r="O62" s="1" t="e">
        <f ca="1">[1]!NewLRE(O6,O42)</f>
        <v>#NAME?</v>
      </c>
      <c r="P62" s="1" t="e">
        <f ca="1">[1]!NewLRE(P6,P42)</f>
        <v>#NAME?</v>
      </c>
      <c r="Q62" s="1" t="e">
        <f ca="1">[1]!NewLRE(Q6,Q42)</f>
        <v>#NAME?</v>
      </c>
      <c r="R62" s="1"/>
      <c r="S62" s="1"/>
      <c r="V62" s="1" t="e">
        <f ca="1">[1]!NewLRE(V6,V15)</f>
        <v>#NAME?</v>
      </c>
      <c r="W62" s="1" t="e">
        <f ca="1">[1]!NewLRE(W6,W15)</f>
        <v>#NAME?</v>
      </c>
      <c r="X62" s="1" t="e">
        <f ca="1">[1]!NewLRE(X6,X15)</f>
        <v>#NAME?</v>
      </c>
      <c r="Y62" s="1" t="e">
        <f ca="1">[1]!NewLRE(Y6,Y15)</f>
        <v>#NAME?</v>
      </c>
      <c r="Z62" s="1" t="e">
        <f ca="1">[1]!NewLRE(Z6,Z15)</f>
        <v>#NAME?</v>
      </c>
      <c r="AA62" s="1"/>
      <c r="AB62" s="1"/>
      <c r="AE62" t="e">
        <f ca="1">[2]!LRE(AE41,V41)</f>
        <v>#NAME?</v>
      </c>
      <c r="AF62" t="e">
        <f ca="1">[2]!LRE(AF41,W41)</f>
        <v>#NAME?</v>
      </c>
      <c r="AG62" t="e">
        <f ca="1">[2]!LRE(AG41,X41)</f>
        <v>#NAME?</v>
      </c>
      <c r="AH62" t="e">
        <f ca="1">[2]!LRE(AH41,Y41)</f>
        <v>#NAME?</v>
      </c>
    </row>
    <row r="63" spans="1:37">
      <c r="M63" s="1" t="e">
        <f ca="1">[1]!NewLRE(M7,M16)</f>
        <v>#NAME?</v>
      </c>
      <c r="N63" s="1" t="e">
        <f ca="1">[1]!NewLRE(N7,N43)</f>
        <v>#NAME?</v>
      </c>
      <c r="O63" s="1" t="e">
        <f ca="1">[1]!NewLRE(O7,O43)</f>
        <v>#NAME?</v>
      </c>
      <c r="P63" s="1" t="e">
        <f ca="1">[1]!NewLRE(P7,P43)</f>
        <v>#NAME?</v>
      </c>
      <c r="Q63" s="1" t="e">
        <f ca="1">[1]!NewLRE(Q7,Q43)</f>
        <v>#NAME?</v>
      </c>
      <c r="R63" s="1" t="e">
        <f ca="1">[1]!NewLRE(R7,R43)</f>
        <v>#NAME?</v>
      </c>
      <c r="S63" s="1"/>
      <c r="V63" s="1" t="e">
        <f ca="1">[1]!NewLRE(V7,V16)</f>
        <v>#NAME?</v>
      </c>
      <c r="W63" s="1" t="e">
        <f ca="1">[1]!NewLRE(W7,W16)</f>
        <v>#NAME?</v>
      </c>
      <c r="X63" s="1" t="e">
        <f ca="1">[1]!NewLRE(X7,X16)</f>
        <v>#NAME?</v>
      </c>
      <c r="Y63" s="1" t="e">
        <f ca="1">[1]!NewLRE(Y7,Y16)</f>
        <v>#NAME?</v>
      </c>
      <c r="Z63" s="1" t="e">
        <f ca="1">[1]!NewLRE(Z7,Z16)</f>
        <v>#NAME?</v>
      </c>
      <c r="AA63" s="1" t="e">
        <f ca="1">[1]!NewLRE(AA7,AA16)</f>
        <v>#NAME?</v>
      </c>
      <c r="AB63" s="1"/>
      <c r="AE63" t="e">
        <f ca="1">[2]!LRE(AE42,V42)</f>
        <v>#NAME?</v>
      </c>
      <c r="AF63" t="e">
        <f ca="1">[2]!LRE(AF42,W42)</f>
        <v>#NAME?</v>
      </c>
      <c r="AG63" t="e">
        <f ca="1">[2]!LRE(AG42,X42)</f>
        <v>#NAME?</v>
      </c>
      <c r="AH63" t="e">
        <f ca="1">[2]!LRE(AH42,Y42)</f>
        <v>#NAME?</v>
      </c>
      <c r="AI63" t="e">
        <f ca="1">[2]!LRE(AI42,Z42)</f>
        <v>#NAME?</v>
      </c>
    </row>
    <row r="64" spans="1:37">
      <c r="M64" s="1" t="e">
        <f ca="1">[1]!NewLRE(M8,M17)</f>
        <v>#NAME?</v>
      </c>
      <c r="N64" s="1" t="e">
        <f ca="1">[1]!NewLRE(N8,N44)</f>
        <v>#NAME?</v>
      </c>
      <c r="O64" s="1" t="e">
        <f ca="1">[1]!NewLRE(O8,O44)</f>
        <v>#NAME?</v>
      </c>
      <c r="P64" s="1" t="e">
        <f ca="1">[1]!NewLRE(P8,P44)</f>
        <v>#NAME?</v>
      </c>
      <c r="Q64" s="1" t="e">
        <f ca="1">[1]!NewLRE(Q8,Q44)</f>
        <v>#NAME?</v>
      </c>
      <c r="R64" s="1" t="e">
        <f ca="1">[1]!NewLRE(R8,R44)</f>
        <v>#NAME?</v>
      </c>
      <c r="S64" s="1" t="e">
        <f ca="1">[1]!NewLRE(S8,S44)</f>
        <v>#NAME?</v>
      </c>
      <c r="V64" s="1" t="e">
        <f ca="1">[1]!NewLRE(V8,V17)</f>
        <v>#NAME?</v>
      </c>
      <c r="W64" s="1" t="e">
        <f ca="1">[1]!NewLRE(W8,W17)</f>
        <v>#NAME?</v>
      </c>
      <c r="X64" s="1" t="e">
        <f ca="1">[1]!NewLRE(X8,X17)</f>
        <v>#NAME?</v>
      </c>
      <c r="Y64" s="1" t="e">
        <f ca="1">[1]!NewLRE(Y8,Y17)</f>
        <v>#NAME?</v>
      </c>
      <c r="Z64" s="1" t="e">
        <f ca="1">[1]!NewLRE(Z8,Z17)</f>
        <v>#NAME?</v>
      </c>
      <c r="AA64" s="1" t="e">
        <f ca="1">[1]!NewLRE(AA8,AA17)</f>
        <v>#NAME?</v>
      </c>
      <c r="AB64" s="1" t="e">
        <f ca="1">[1]!NewLRE(AB8,AB17)</f>
        <v>#NAME?</v>
      </c>
      <c r="AE64" t="e">
        <f ca="1">[2]!LRE(AE43,V43)</f>
        <v>#NAME?</v>
      </c>
      <c r="AF64" t="e">
        <f ca="1">[2]!LRE(AF43,W43)</f>
        <v>#NAME?</v>
      </c>
      <c r="AG64" t="e">
        <f ca="1">[2]!LRE(AG43,X43)</f>
        <v>#NAME?</v>
      </c>
      <c r="AH64" t="e">
        <f ca="1">[2]!LRE(AH43,Y43)</f>
        <v>#NAME?</v>
      </c>
      <c r="AI64" t="e">
        <f ca="1">[2]!LRE(AI43,Z43)</f>
        <v>#NAME?</v>
      </c>
      <c r="AJ64" t="e">
        <f ca="1">[2]!LRE(AJ43,AA43)</f>
        <v>#NAME?</v>
      </c>
    </row>
    <row r="65" spans="1:37">
      <c r="A65" s="1">
        <f t="shared" ref="A65:G65" si="11">A2+100000000</f>
        <v>100060323</v>
      </c>
      <c r="B65" s="1">
        <f t="shared" si="11"/>
        <v>100000083</v>
      </c>
      <c r="C65" s="1">
        <f t="shared" si="11"/>
        <v>100234289</v>
      </c>
      <c r="D65" s="1">
        <f t="shared" si="11"/>
        <v>100002356</v>
      </c>
      <c r="E65" s="1">
        <f t="shared" si="11"/>
        <v>100001590</v>
      </c>
      <c r="F65" s="1">
        <f t="shared" si="11"/>
        <v>100107608</v>
      </c>
      <c r="G65" s="1">
        <f t="shared" si="11"/>
        <v>100001947</v>
      </c>
      <c r="AE65" t="e">
        <f ca="1">[2]!LRE(AE44,V44)</f>
        <v>#NAME?</v>
      </c>
      <c r="AF65" t="e">
        <f ca="1">[2]!LRE(AF44,W44)</f>
        <v>#NAME?</v>
      </c>
      <c r="AG65" t="e">
        <f ca="1">[2]!LRE(AG44,X44)</f>
        <v>#NAME?</v>
      </c>
      <c r="AH65" t="e">
        <f ca="1">[2]!LRE(AH44,Y44)</f>
        <v>#NAME?</v>
      </c>
      <c r="AI65" t="e">
        <f ca="1">[2]!LRE(AI44,Z44)</f>
        <v>#NAME?</v>
      </c>
      <c r="AJ65" t="e">
        <f ca="1">[2]!LRE(AJ44,AA44)</f>
        <v>#NAME?</v>
      </c>
      <c r="AK65" t="e">
        <f ca="1">[2]!LRE(AK44,AB44)</f>
        <v>#NAME?</v>
      </c>
    </row>
    <row r="66" spans="1:37">
      <c r="A66" s="1">
        <f t="shared" ref="A66:G80" si="12">A3+100000000</f>
        <v>100061122</v>
      </c>
      <c r="B66" s="1">
        <f t="shared" si="12"/>
        <v>100000088.5</v>
      </c>
      <c r="C66" s="1">
        <f t="shared" si="12"/>
        <v>100259426</v>
      </c>
      <c r="D66" s="1">
        <f t="shared" si="12"/>
        <v>100002325</v>
      </c>
      <c r="E66" s="1">
        <f t="shared" si="12"/>
        <v>100001456</v>
      </c>
      <c r="F66" s="1">
        <f t="shared" si="12"/>
        <v>100108632</v>
      </c>
      <c r="G66" s="1">
        <f t="shared" si="12"/>
        <v>100001948</v>
      </c>
    </row>
    <row r="67" spans="1:37">
      <c r="A67" s="1">
        <f t="shared" si="12"/>
        <v>100060171</v>
      </c>
      <c r="B67" s="1">
        <f t="shared" si="12"/>
        <v>100000088.2</v>
      </c>
      <c r="C67" s="1">
        <f t="shared" si="12"/>
        <v>100258054</v>
      </c>
      <c r="D67" s="1">
        <f t="shared" si="12"/>
        <v>100003682</v>
      </c>
      <c r="E67" s="1">
        <f t="shared" si="12"/>
        <v>100001616</v>
      </c>
      <c r="F67" s="1">
        <f t="shared" si="12"/>
        <v>100109773</v>
      </c>
      <c r="G67" s="1">
        <f t="shared" si="12"/>
        <v>100001949</v>
      </c>
    </row>
    <row r="68" spans="1:37">
      <c r="A68" s="1">
        <f t="shared" si="12"/>
        <v>100061187</v>
      </c>
      <c r="B68" s="1">
        <f t="shared" si="12"/>
        <v>100000089.5</v>
      </c>
      <c r="C68" s="1">
        <f t="shared" si="12"/>
        <v>100284599</v>
      </c>
      <c r="D68" s="1">
        <f t="shared" si="12"/>
        <v>100003351</v>
      </c>
      <c r="E68" s="1">
        <f t="shared" si="12"/>
        <v>100001650</v>
      </c>
      <c r="F68" s="1">
        <f t="shared" si="12"/>
        <v>100110929</v>
      </c>
      <c r="G68" s="1">
        <f t="shared" si="12"/>
        <v>100001950</v>
      </c>
      <c r="M68" s="1" t="e">
        <f ca="1">[2]!LRE(M11,M38)</f>
        <v>#NAME?</v>
      </c>
      <c r="N68" s="1"/>
      <c r="O68" s="1"/>
      <c r="P68" s="1"/>
      <c r="Q68" s="1"/>
      <c r="R68" s="1"/>
      <c r="S68" s="1"/>
      <c r="V68" s="1" t="e">
        <f ca="1">[2]!LRE(V11,V38)</f>
        <v>#NAME?</v>
      </c>
      <c r="W68" s="1"/>
      <c r="X68" s="1"/>
      <c r="Y68" s="1"/>
      <c r="Z68" s="1"/>
      <c r="AA68" s="1"/>
      <c r="AB68" s="1"/>
    </row>
    <row r="69" spans="1:37">
      <c r="A69" s="1">
        <f t="shared" si="12"/>
        <v>100063221</v>
      </c>
      <c r="B69" s="1">
        <f t="shared" si="12"/>
        <v>100000096.2</v>
      </c>
      <c r="C69" s="1">
        <f t="shared" si="12"/>
        <v>100328975</v>
      </c>
      <c r="D69" s="1">
        <f t="shared" si="12"/>
        <v>100002099</v>
      </c>
      <c r="E69" s="1">
        <f t="shared" si="12"/>
        <v>100003099</v>
      </c>
      <c r="F69" s="1">
        <f t="shared" si="12"/>
        <v>100112075</v>
      </c>
      <c r="G69" s="1">
        <f t="shared" si="12"/>
        <v>100001951</v>
      </c>
      <c r="M69" s="1" t="e">
        <f ca="1">[2]!LRE(M12,M39)</f>
        <v>#NAME?</v>
      </c>
      <c r="N69" s="1" t="e">
        <f ca="1">[2]!LRE(N12,N39)</f>
        <v>#NAME?</v>
      </c>
      <c r="O69" s="1"/>
      <c r="P69" s="1"/>
      <c r="Q69" s="1"/>
      <c r="R69" s="1"/>
      <c r="S69" s="1"/>
      <c r="V69" s="1" t="e">
        <f ca="1">[2]!LRE(V12,V39)</f>
        <v>#NAME?</v>
      </c>
      <c r="W69" s="1" t="e">
        <f ca="1">[2]!LRE(W12,W39)</f>
        <v>#NAME?</v>
      </c>
      <c r="X69" s="1"/>
      <c r="Y69" s="1"/>
      <c r="Z69" s="1"/>
      <c r="AA69" s="1"/>
      <c r="AB69" s="1"/>
    </row>
    <row r="70" spans="1:37">
      <c r="A70" s="1">
        <f t="shared" si="12"/>
        <v>100063639</v>
      </c>
      <c r="B70" s="1">
        <f t="shared" si="12"/>
        <v>100000098.09999999</v>
      </c>
      <c r="C70" s="1">
        <f t="shared" si="12"/>
        <v>100346999</v>
      </c>
      <c r="D70" s="1">
        <f t="shared" si="12"/>
        <v>100001932</v>
      </c>
      <c r="E70" s="1">
        <f t="shared" si="12"/>
        <v>100003594</v>
      </c>
      <c r="F70" s="1">
        <f t="shared" si="12"/>
        <v>100113270</v>
      </c>
      <c r="G70" s="1">
        <f t="shared" si="12"/>
        <v>100001952</v>
      </c>
      <c r="M70" s="1" t="e">
        <f ca="1">[2]!LRE(M13,M40)</f>
        <v>#NAME?</v>
      </c>
      <c r="N70" s="1" t="e">
        <f ca="1">[2]!LRE(N13,N40)</f>
        <v>#NAME?</v>
      </c>
      <c r="O70" s="1" t="e">
        <f ca="1">[2]!LRE(O13,O40)</f>
        <v>#NAME?</v>
      </c>
      <c r="P70" s="1"/>
      <c r="Q70" s="1"/>
      <c r="R70" s="1"/>
      <c r="S70" s="1"/>
      <c r="V70" s="1" t="e">
        <f ca="1">[2]!LRE(V13,V40)</f>
        <v>#NAME?</v>
      </c>
      <c r="W70" s="1" t="e">
        <f ca="1">[2]!LRE(W13,W40)</f>
        <v>#NAME?</v>
      </c>
      <c r="X70" s="1" t="e">
        <f ca="1">[2]!LRE(X13,X40)</f>
        <v>#NAME?</v>
      </c>
      <c r="Y70" s="1"/>
      <c r="Z70" s="1"/>
      <c r="AA70" s="1"/>
      <c r="AB70" s="1"/>
    </row>
    <row r="71" spans="1:37">
      <c r="A71" s="1">
        <f t="shared" si="12"/>
        <v>100064989</v>
      </c>
      <c r="B71" s="1">
        <f t="shared" si="12"/>
        <v>100000099</v>
      </c>
      <c r="C71" s="1">
        <f t="shared" si="12"/>
        <v>100365385</v>
      </c>
      <c r="D71" s="1">
        <f t="shared" si="12"/>
        <v>100001870</v>
      </c>
      <c r="E71" s="1">
        <f t="shared" si="12"/>
        <v>100003547</v>
      </c>
      <c r="F71" s="1">
        <f t="shared" si="12"/>
        <v>100115094</v>
      </c>
      <c r="G71" s="1">
        <f t="shared" si="12"/>
        <v>100001953</v>
      </c>
      <c r="M71" s="1" t="e">
        <f ca="1">[2]!LRE(M14,M41)</f>
        <v>#NAME?</v>
      </c>
      <c r="N71" s="1" t="e">
        <f ca="1">[2]!LRE(N14,N41)</f>
        <v>#NAME?</v>
      </c>
      <c r="O71" s="1" t="e">
        <f ca="1">[2]!LRE(O14,O41)</f>
        <v>#NAME?</v>
      </c>
      <c r="P71" s="1" t="e">
        <f ca="1">[2]!LRE(P14,P41)</f>
        <v>#NAME?</v>
      </c>
      <c r="Q71" s="1"/>
      <c r="R71" s="1"/>
      <c r="S71" s="1"/>
      <c r="V71" s="1" t="e">
        <f ca="1">[2]!LRE(V14,V41)</f>
        <v>#NAME?</v>
      </c>
      <c r="W71" s="1" t="e">
        <f ca="1">[2]!LRE(W14,W41)</f>
        <v>#NAME?</v>
      </c>
      <c r="X71" s="1" t="e">
        <f ca="1">[2]!LRE(X14,X41)</f>
        <v>#NAME?</v>
      </c>
      <c r="Y71" s="1" t="e">
        <f ca="1">[2]!LRE(Y14,Y41)</f>
        <v>#NAME?</v>
      </c>
      <c r="Z71" s="1"/>
      <c r="AA71" s="1"/>
      <c r="AB71" s="1"/>
    </row>
    <row r="72" spans="1:37">
      <c r="A72" s="1">
        <f t="shared" si="12"/>
        <v>100063761</v>
      </c>
      <c r="B72" s="1">
        <f t="shared" si="12"/>
        <v>100000100</v>
      </c>
      <c r="C72" s="1">
        <f t="shared" si="12"/>
        <v>100363112</v>
      </c>
      <c r="D72" s="1">
        <f t="shared" si="12"/>
        <v>100003578</v>
      </c>
      <c r="E72" s="1">
        <f t="shared" si="12"/>
        <v>100003350</v>
      </c>
      <c r="F72" s="1">
        <f t="shared" si="12"/>
        <v>100116219</v>
      </c>
      <c r="G72" s="1">
        <f t="shared" si="12"/>
        <v>100001954</v>
      </c>
      <c r="M72" s="1" t="e">
        <f ca="1">[2]!LRE(M15,M42)</f>
        <v>#NAME?</v>
      </c>
      <c r="N72" s="1" t="e">
        <f ca="1">[2]!LRE(N15,N42)</f>
        <v>#NAME?</v>
      </c>
      <c r="O72" s="1" t="e">
        <f ca="1">[2]!LRE(O15,O42)</f>
        <v>#NAME?</v>
      </c>
      <c r="P72" s="1" t="e">
        <f ca="1">[2]!LRE(P15,P42)</f>
        <v>#NAME?</v>
      </c>
      <c r="Q72" s="1" t="e">
        <f ca="1">[2]!LRE(Q15,Q42)</f>
        <v>#NAME?</v>
      </c>
      <c r="R72" s="1"/>
      <c r="S72" s="1"/>
      <c r="V72" s="1" t="e">
        <f ca="1">[2]!LRE(V15,V42)</f>
        <v>#NAME?</v>
      </c>
      <c r="W72" s="1" t="e">
        <f ca="1">[2]!LRE(W15,W42)</f>
        <v>#NAME?</v>
      </c>
      <c r="X72" s="1" t="e">
        <f ca="1">[2]!LRE(X15,X42)</f>
        <v>#NAME?</v>
      </c>
      <c r="Y72" s="1" t="e">
        <f ca="1">[2]!LRE(Y15,Y42)</f>
        <v>#NAME?</v>
      </c>
      <c r="Z72" s="1" t="e">
        <f ca="1">[2]!LRE(Z15,Z42)</f>
        <v>#NAME?</v>
      </c>
      <c r="AA72" s="1"/>
      <c r="AB72" s="1"/>
    </row>
    <row r="73" spans="1:37">
      <c r="A73" s="1">
        <f t="shared" si="12"/>
        <v>100066019</v>
      </c>
      <c r="B73" s="1">
        <f t="shared" si="12"/>
        <v>100000101.2</v>
      </c>
      <c r="C73" s="1">
        <f t="shared" si="12"/>
        <v>100397469</v>
      </c>
      <c r="D73" s="1">
        <f t="shared" si="12"/>
        <v>100002904</v>
      </c>
      <c r="E73" s="1">
        <f t="shared" si="12"/>
        <v>100003048</v>
      </c>
      <c r="F73" s="1">
        <f t="shared" si="12"/>
        <v>100117388</v>
      </c>
      <c r="G73" s="1">
        <f t="shared" si="12"/>
        <v>100001955</v>
      </c>
      <c r="M73" s="1" t="e">
        <f ca="1">[2]!LRE(M16,M43)</f>
        <v>#NAME?</v>
      </c>
      <c r="N73" s="1" t="e">
        <f ca="1">[2]!LRE(N16,N43)</f>
        <v>#NAME?</v>
      </c>
      <c r="O73" s="1" t="e">
        <f ca="1">[2]!LRE(O16,O43)</f>
        <v>#NAME?</v>
      </c>
      <c r="P73" s="1" t="e">
        <f ca="1">[2]!LRE(P16,P43)</f>
        <v>#NAME?</v>
      </c>
      <c r="Q73" s="1" t="e">
        <f ca="1">[2]!LRE(Q16,Q43)</f>
        <v>#NAME?</v>
      </c>
      <c r="R73" s="1" t="e">
        <f ca="1">[2]!LRE(R16,R43)</f>
        <v>#NAME?</v>
      </c>
      <c r="S73" s="1"/>
      <c r="V73" s="1" t="e">
        <f ca="1">[2]!LRE(V16,V43)</f>
        <v>#NAME?</v>
      </c>
      <c r="W73" s="1" t="e">
        <f ca="1">[2]!LRE(W16,W43)</f>
        <v>#NAME?</v>
      </c>
      <c r="X73" s="1" t="e">
        <f ca="1">[2]!LRE(X16,X43)</f>
        <v>#NAME?</v>
      </c>
      <c r="Y73" s="1" t="e">
        <f ca="1">[2]!LRE(Y16,Y43)</f>
        <v>#NAME?</v>
      </c>
      <c r="Z73" s="1" t="e">
        <f ca="1">[2]!LRE(Z16,Z43)</f>
        <v>#NAME?</v>
      </c>
      <c r="AA73" s="1" t="e">
        <f ca="1">[2]!LRE(AA16,AA43)</f>
        <v>#NAME?</v>
      </c>
      <c r="AB73" s="1"/>
    </row>
    <row r="74" spans="1:37">
      <c r="A74" s="1">
        <f t="shared" si="12"/>
        <v>100067857</v>
      </c>
      <c r="B74" s="1">
        <f t="shared" si="12"/>
        <v>100000104.59999999</v>
      </c>
      <c r="C74" s="1">
        <f t="shared" si="12"/>
        <v>100419180</v>
      </c>
      <c r="D74" s="1">
        <f t="shared" si="12"/>
        <v>100002822</v>
      </c>
      <c r="E74" s="1">
        <f t="shared" si="12"/>
        <v>100002857</v>
      </c>
      <c r="F74" s="1">
        <f t="shared" si="12"/>
        <v>100118734</v>
      </c>
      <c r="G74" s="1">
        <f t="shared" si="12"/>
        <v>100001956</v>
      </c>
      <c r="M74" s="1" t="e">
        <f ca="1">[2]!LRE(M17,M44)</f>
        <v>#NAME?</v>
      </c>
      <c r="N74" s="1" t="e">
        <f ca="1">[2]!LRE(N17,N44)</f>
        <v>#NAME?</v>
      </c>
      <c r="O74" s="1" t="e">
        <f ca="1">[2]!LRE(O17,O44)</f>
        <v>#NAME?</v>
      </c>
      <c r="P74" s="1" t="e">
        <f ca="1">[2]!LRE(P17,P44)</f>
        <v>#NAME?</v>
      </c>
      <c r="Q74" s="1" t="e">
        <f ca="1">[2]!LRE(Q17,Q44)</f>
        <v>#NAME?</v>
      </c>
      <c r="R74" s="1" t="e">
        <f ca="1">[2]!LRE(R17,R44)</f>
        <v>#NAME?</v>
      </c>
      <c r="S74" s="1" t="e">
        <f ca="1">[2]!LRE(S17,S44)</f>
        <v>#NAME?</v>
      </c>
      <c r="V74" s="1" t="e">
        <f ca="1">[2]!LRE(V17,V44)</f>
        <v>#NAME?</v>
      </c>
      <c r="W74" s="1" t="e">
        <f ca="1">[2]!LRE(W17,W44)</f>
        <v>#NAME?</v>
      </c>
      <c r="X74" s="1" t="e">
        <f ca="1">[2]!LRE(X17,X44)</f>
        <v>#NAME?</v>
      </c>
      <c r="Y74" s="1" t="e">
        <f ca="1">[2]!LRE(Y17,Y44)</f>
        <v>#NAME?</v>
      </c>
      <c r="Z74" s="1" t="e">
        <f ca="1">[2]!LRE(Z17,Z44)</f>
        <v>#NAME?</v>
      </c>
      <c r="AA74" s="1" t="e">
        <f ca="1">[2]!LRE(AA17,AA44)</f>
        <v>#NAME?</v>
      </c>
      <c r="AB74" s="1" t="e">
        <f ca="1">[2]!LRE(AB17,AB44)</f>
        <v>#NAME?</v>
      </c>
    </row>
    <row r="75" spans="1:37">
      <c r="A75" s="1">
        <f t="shared" si="12"/>
        <v>100068169</v>
      </c>
      <c r="B75" s="1">
        <f t="shared" si="12"/>
        <v>100000108.40000001</v>
      </c>
      <c r="C75" s="1">
        <f t="shared" si="12"/>
        <v>100442769</v>
      </c>
      <c r="D75" s="1">
        <f t="shared" si="12"/>
        <v>100002936</v>
      </c>
      <c r="E75" s="1">
        <f t="shared" si="12"/>
        <v>100002798</v>
      </c>
      <c r="F75" s="1">
        <f t="shared" si="12"/>
        <v>100120445</v>
      </c>
      <c r="G75" s="1">
        <f t="shared" si="12"/>
        <v>100001957</v>
      </c>
    </row>
    <row r="76" spans="1:37">
      <c r="A76" s="1">
        <f t="shared" si="12"/>
        <v>100066513</v>
      </c>
      <c r="B76" s="1">
        <f t="shared" si="12"/>
        <v>100000110.8</v>
      </c>
      <c r="C76" s="1">
        <f t="shared" si="12"/>
        <v>100444546</v>
      </c>
      <c r="D76" s="1">
        <f t="shared" si="12"/>
        <v>100004681</v>
      </c>
      <c r="E76" s="1">
        <f t="shared" si="12"/>
        <v>100002637</v>
      </c>
      <c r="F76" s="1">
        <f t="shared" si="12"/>
        <v>100121950</v>
      </c>
      <c r="G76" s="1">
        <f t="shared" si="12"/>
        <v>100001958</v>
      </c>
    </row>
    <row r="77" spans="1:37">
      <c r="A77" s="1">
        <f t="shared" si="12"/>
        <v>100068655</v>
      </c>
      <c r="B77" s="1">
        <f t="shared" si="12"/>
        <v>100000112.59999999</v>
      </c>
      <c r="C77" s="1">
        <f t="shared" si="12"/>
        <v>100482704</v>
      </c>
      <c r="D77" s="1">
        <f t="shared" si="12"/>
        <v>100003813</v>
      </c>
      <c r="E77" s="1">
        <f t="shared" si="12"/>
        <v>100002552</v>
      </c>
      <c r="F77" s="1">
        <f t="shared" si="12"/>
        <v>100123366</v>
      </c>
      <c r="G77" s="1">
        <f t="shared" si="12"/>
        <v>100001959</v>
      </c>
    </row>
    <row r="78" spans="1:37">
      <c r="A78" s="1">
        <f t="shared" si="12"/>
        <v>100069564</v>
      </c>
      <c r="B78" s="1">
        <f t="shared" si="12"/>
        <v>100000114.2</v>
      </c>
      <c r="C78" s="1">
        <f t="shared" si="12"/>
        <v>100502601</v>
      </c>
      <c r="D78" s="1">
        <f t="shared" si="12"/>
        <v>100003931</v>
      </c>
      <c r="E78" s="1">
        <f t="shared" si="12"/>
        <v>100002514</v>
      </c>
      <c r="F78" s="1">
        <f t="shared" si="12"/>
        <v>100125368</v>
      </c>
      <c r="G78" s="1">
        <f t="shared" si="12"/>
        <v>100001960</v>
      </c>
    </row>
    <row r="79" spans="1:37">
      <c r="A79" s="1">
        <f t="shared" si="12"/>
        <v>100069331</v>
      </c>
      <c r="B79" s="1">
        <f t="shared" si="12"/>
        <v>100000115.7</v>
      </c>
      <c r="C79" s="1">
        <f t="shared" si="12"/>
        <v>100518173</v>
      </c>
      <c r="D79" s="1">
        <f t="shared" si="12"/>
        <v>100004806</v>
      </c>
      <c r="E79" s="1">
        <f t="shared" si="12"/>
        <v>100002572</v>
      </c>
      <c r="F79" s="1">
        <f t="shared" si="12"/>
        <v>100127852</v>
      </c>
      <c r="G79" s="1">
        <f t="shared" si="12"/>
        <v>100001961</v>
      </c>
    </row>
    <row r="80" spans="1:37">
      <c r="A80" s="1">
        <f t="shared" si="12"/>
        <v>100070551</v>
      </c>
      <c r="B80" s="1">
        <f t="shared" si="12"/>
        <v>100000116.90000001</v>
      </c>
      <c r="C80" s="1">
        <f t="shared" si="12"/>
        <v>100554894</v>
      </c>
      <c r="D80" s="1">
        <f t="shared" si="12"/>
        <v>100004007</v>
      </c>
      <c r="E80" s="1">
        <f t="shared" si="12"/>
        <v>100002827</v>
      </c>
      <c r="F80" s="1">
        <f t="shared" si="12"/>
        <v>100130081</v>
      </c>
      <c r="G80" s="1">
        <f t="shared" si="12"/>
        <v>100001962</v>
      </c>
    </row>
    <row r="81" spans="1:8">
      <c r="A81" s="1">
        <f>AVERAGE(A65:A80)</f>
        <v>100065317</v>
      </c>
      <c r="B81" s="1">
        <f t="shared" ref="B81:G81" si="13">AVERAGE(B65:B80)</f>
        <v>100000101.68125001</v>
      </c>
      <c r="C81" s="1">
        <f t="shared" si="13"/>
        <v>100387698.4375</v>
      </c>
      <c r="D81" s="1">
        <f t="shared" si="13"/>
        <v>100003193.3125</v>
      </c>
      <c r="E81" s="1">
        <f t="shared" si="13"/>
        <v>100002606.6875</v>
      </c>
      <c r="F81" s="1">
        <f t="shared" si="13"/>
        <v>100117424</v>
      </c>
      <c r="G81" s="1">
        <f t="shared" si="13"/>
        <v>100001954.5</v>
      </c>
    </row>
    <row r="82" spans="1:8">
      <c r="A82" t="e">
        <f ca="1">[1]!NewMean(A65:A80)</f>
        <v>#NAME?</v>
      </c>
      <c r="B82" t="e">
        <f ca="1">[1]!NewMean(B65:B80)</f>
        <v>#NAME?</v>
      </c>
      <c r="C82" t="e">
        <f ca="1">[1]!NewMean(C65:C80)</f>
        <v>#NAME?</v>
      </c>
      <c r="D82" t="e">
        <f ca="1">[1]!NewMean(D65:D80)</f>
        <v>#NAME?</v>
      </c>
      <c r="E82" t="e">
        <f ca="1">[1]!NewMean(E65:E80)</f>
        <v>#NAME?</v>
      </c>
      <c r="F82" t="e">
        <f ca="1">[1]!NewMean(F65:F80)</f>
        <v>#NAME?</v>
      </c>
      <c r="G82" t="e">
        <f ca="1">[1]!NewMean(G65:G80)</f>
        <v>#NAME?</v>
      </c>
    </row>
    <row r="83" spans="1:8">
      <c r="A83" s="23" t="e">
        <f ca="1">A81-A82</f>
        <v>#NAME?</v>
      </c>
      <c r="B83" s="23" t="e">
        <f t="shared" ref="B83:G83" ca="1" si="14">B81-B82</f>
        <v>#NAME?</v>
      </c>
      <c r="C83" s="23" t="e">
        <f t="shared" ca="1" si="14"/>
        <v>#NAME?</v>
      </c>
      <c r="D83" s="23" t="e">
        <f t="shared" ca="1" si="14"/>
        <v>#NAME?</v>
      </c>
      <c r="E83" s="23" t="e">
        <f t="shared" ca="1" si="14"/>
        <v>#NAME?</v>
      </c>
      <c r="F83" s="23" t="e">
        <f t="shared" ca="1" si="14"/>
        <v>#NAME?</v>
      </c>
      <c r="G83" s="23" t="e">
        <f t="shared" ca="1" si="14"/>
        <v>#NAME?</v>
      </c>
    </row>
    <row r="84" spans="1:8">
      <c r="A84" s="24" t="e">
        <f t="shared" ref="A84:G84" ca="1" si="15">-LOG10(A21/A82)</f>
        <v>#NAME?</v>
      </c>
      <c r="B84" s="24" t="e">
        <f t="shared" ca="1" si="15"/>
        <v>#NAME?</v>
      </c>
      <c r="C84" s="24" t="e">
        <f t="shared" ca="1" si="15"/>
        <v>#NAME?</v>
      </c>
      <c r="D84" s="24" t="e">
        <f t="shared" ca="1" si="15"/>
        <v>#NAME?</v>
      </c>
      <c r="E84" s="24" t="e">
        <f t="shared" ca="1" si="15"/>
        <v>#NAME?</v>
      </c>
      <c r="F84" s="24" t="e">
        <f t="shared" ca="1" si="15"/>
        <v>#NAME?</v>
      </c>
      <c r="G84" s="24" t="e">
        <f t="shared" ca="1" si="15"/>
        <v>#NAME?</v>
      </c>
      <c r="H84" s="24" t="e">
        <f ca="1">[1]!NewMean(A84:G84)</f>
        <v>#NAME?</v>
      </c>
    </row>
    <row r="85" spans="1:8">
      <c r="A85" s="23"/>
      <c r="B85" s="23"/>
      <c r="C85" s="23"/>
      <c r="D85" s="23"/>
      <c r="E85" s="23"/>
      <c r="F85" s="23"/>
      <c r="G85" s="23"/>
    </row>
    <row r="86" spans="1:8">
      <c r="A86" s="23"/>
      <c r="B86" s="23"/>
      <c r="C86" s="23"/>
      <c r="D86" s="23"/>
      <c r="E86" s="23"/>
      <c r="F86" s="23"/>
      <c r="G86" s="23"/>
    </row>
    <row r="87" spans="1:8">
      <c r="A87" s="23"/>
      <c r="B87" s="23"/>
      <c r="C87" s="23"/>
      <c r="D87" s="23"/>
      <c r="E87" s="23"/>
      <c r="F87" s="23"/>
      <c r="G87" s="23"/>
    </row>
    <row r="88" spans="1:8">
      <c r="A88" s="23"/>
      <c r="B88" s="23"/>
      <c r="C88" s="23"/>
      <c r="D88" s="23"/>
      <c r="E88" s="23"/>
      <c r="F88" s="23"/>
      <c r="G88" s="23"/>
    </row>
    <row r="89" spans="1:8">
      <c r="A89" s="23"/>
      <c r="B89" s="23"/>
      <c r="C89" s="23"/>
      <c r="D89" s="23"/>
      <c r="E89" s="23"/>
      <c r="F89" s="23"/>
      <c r="G89" s="23"/>
    </row>
    <row r="90" spans="1:8">
      <c r="A90" s="23"/>
      <c r="B90" s="23"/>
      <c r="C90" s="23"/>
      <c r="D90" s="23"/>
      <c r="E90" s="23"/>
      <c r="F90" s="23"/>
      <c r="G90" s="23"/>
    </row>
    <row r="91" spans="1:8">
      <c r="A91" s="23"/>
      <c r="B91" s="23"/>
      <c r="C91" s="23"/>
      <c r="D91" s="23"/>
      <c r="E91" s="23"/>
      <c r="F91" s="23"/>
      <c r="G91" s="23"/>
    </row>
    <row r="92" spans="1:8">
      <c r="A92" s="21">
        <f t="shared" ref="A92:G93" si="16">A65-A$81</f>
        <v>-4994</v>
      </c>
      <c r="B92" s="21">
        <f t="shared" si="16"/>
        <v>-18.681250005960464</v>
      </c>
      <c r="C92" s="21">
        <f t="shared" si="16"/>
        <v>-153409.4375</v>
      </c>
      <c r="D92" s="21">
        <f t="shared" si="16"/>
        <v>-837.3125</v>
      </c>
      <c r="E92" s="21">
        <f t="shared" si="16"/>
        <v>-1016.6875</v>
      </c>
      <c r="F92" s="21">
        <f t="shared" si="16"/>
        <v>-9816</v>
      </c>
      <c r="G92" s="21">
        <f t="shared" si="16"/>
        <v>-7.5</v>
      </c>
    </row>
    <row r="93" spans="1:8">
      <c r="A93" s="21">
        <f t="shared" si="16"/>
        <v>-4195</v>
      </c>
      <c r="B93" s="21">
        <f t="shared" si="16"/>
        <v>-13.181250005960464</v>
      </c>
      <c r="C93" s="21">
        <f t="shared" si="16"/>
        <v>-128272.4375</v>
      </c>
      <c r="D93" s="21">
        <f t="shared" si="16"/>
        <v>-868.3125</v>
      </c>
      <c r="E93" s="21">
        <f t="shared" si="16"/>
        <v>-1150.6875</v>
      </c>
      <c r="F93" s="21">
        <f t="shared" si="16"/>
        <v>-8792</v>
      </c>
      <c r="G93" s="21">
        <f t="shared" si="16"/>
        <v>-6.5</v>
      </c>
    </row>
    <row r="94" spans="1:8">
      <c r="A94" s="21">
        <f t="shared" ref="A94:G94" si="17">A67-A$81</f>
        <v>-5146</v>
      </c>
      <c r="B94" s="21">
        <f t="shared" si="17"/>
        <v>-13.481250002980232</v>
      </c>
      <c r="C94" s="21">
        <f t="shared" si="17"/>
        <v>-129644.4375</v>
      </c>
      <c r="D94" s="21">
        <f t="shared" si="17"/>
        <v>488.6875</v>
      </c>
      <c r="E94" s="21">
        <f t="shared" si="17"/>
        <v>-990.6875</v>
      </c>
      <c r="F94" s="21">
        <f t="shared" si="17"/>
        <v>-7651</v>
      </c>
      <c r="G94" s="21">
        <f t="shared" si="17"/>
        <v>-5.5</v>
      </c>
    </row>
    <row r="95" spans="1:8">
      <c r="A95" s="21">
        <f t="shared" ref="A95:G95" si="18">A68-A$81</f>
        <v>-4130</v>
      </c>
      <c r="B95" s="21">
        <f t="shared" si="18"/>
        <v>-12.181250005960464</v>
      </c>
      <c r="C95" s="21">
        <f t="shared" si="18"/>
        <v>-103099.4375</v>
      </c>
      <c r="D95" s="21">
        <f t="shared" si="18"/>
        <v>157.6875</v>
      </c>
      <c r="E95" s="21">
        <f t="shared" si="18"/>
        <v>-956.6875</v>
      </c>
      <c r="F95" s="21">
        <f t="shared" si="18"/>
        <v>-6495</v>
      </c>
      <c r="G95" s="21">
        <f t="shared" si="18"/>
        <v>-4.5</v>
      </c>
    </row>
    <row r="96" spans="1:8">
      <c r="A96" s="21">
        <f t="shared" ref="A96:G96" si="19">A69-A$81</f>
        <v>-2096</v>
      </c>
      <c r="B96" s="21">
        <f t="shared" si="19"/>
        <v>-5.4812500029802322</v>
      </c>
      <c r="C96" s="21">
        <f t="shared" si="19"/>
        <v>-58723.4375</v>
      </c>
      <c r="D96" s="21">
        <f t="shared" si="19"/>
        <v>-1094.3125</v>
      </c>
      <c r="E96" s="21">
        <f t="shared" si="19"/>
        <v>492.3125</v>
      </c>
      <c r="F96" s="21">
        <f t="shared" si="19"/>
        <v>-5349</v>
      </c>
      <c r="G96" s="21">
        <f t="shared" si="19"/>
        <v>-3.5</v>
      </c>
    </row>
    <row r="97" spans="1:7">
      <c r="A97" s="21">
        <f t="shared" ref="A97:G97" si="20">A70-A$81</f>
        <v>-1678</v>
      </c>
      <c r="B97" s="21">
        <f t="shared" si="20"/>
        <v>-3.581250011920929</v>
      </c>
      <c r="C97" s="21">
        <f t="shared" si="20"/>
        <v>-40699.4375</v>
      </c>
      <c r="D97" s="21">
        <f t="shared" si="20"/>
        <v>-1261.3125</v>
      </c>
      <c r="E97" s="21">
        <f t="shared" si="20"/>
        <v>987.3125</v>
      </c>
      <c r="F97" s="21">
        <f t="shared" si="20"/>
        <v>-4154</v>
      </c>
      <c r="G97" s="21">
        <f t="shared" si="20"/>
        <v>-2.5</v>
      </c>
    </row>
    <row r="98" spans="1:7">
      <c r="A98" s="21">
        <f t="shared" ref="A98:G98" si="21">A71-A$81</f>
        <v>-328</v>
      </c>
      <c r="B98" s="21">
        <f t="shared" si="21"/>
        <v>-2.6812500059604645</v>
      </c>
      <c r="C98" s="21">
        <f t="shared" si="21"/>
        <v>-22313.4375</v>
      </c>
      <c r="D98" s="21">
        <f t="shared" si="21"/>
        <v>-1323.3125</v>
      </c>
      <c r="E98" s="21">
        <f t="shared" si="21"/>
        <v>940.3125</v>
      </c>
      <c r="F98" s="21">
        <f t="shared" si="21"/>
        <v>-2330</v>
      </c>
      <c r="G98" s="21">
        <f t="shared" si="21"/>
        <v>-1.5</v>
      </c>
    </row>
    <row r="99" spans="1:7">
      <c r="A99" s="21">
        <f t="shared" ref="A99:G99" si="22">A72-A$81</f>
        <v>-1556</v>
      </c>
      <c r="B99" s="21">
        <f t="shared" si="22"/>
        <v>-1.6812500059604645</v>
      </c>
      <c r="C99" s="21">
        <f t="shared" si="22"/>
        <v>-24586.4375</v>
      </c>
      <c r="D99" s="21">
        <f t="shared" si="22"/>
        <v>384.6875</v>
      </c>
      <c r="E99" s="21">
        <f t="shared" si="22"/>
        <v>743.3125</v>
      </c>
      <c r="F99" s="21">
        <f t="shared" si="22"/>
        <v>-1205</v>
      </c>
      <c r="G99" s="21">
        <f t="shared" si="22"/>
        <v>-0.5</v>
      </c>
    </row>
    <row r="100" spans="1:7">
      <c r="A100" s="21">
        <f t="shared" ref="A100:G100" si="23">A73-A$81</f>
        <v>702</v>
      </c>
      <c r="B100" s="21">
        <f t="shared" si="23"/>
        <v>-0.48125000298023224</v>
      </c>
      <c r="C100" s="21">
        <f t="shared" si="23"/>
        <v>9770.5625</v>
      </c>
      <c r="D100" s="21">
        <f t="shared" si="23"/>
        <v>-289.3125</v>
      </c>
      <c r="E100" s="21">
        <f t="shared" si="23"/>
        <v>441.3125</v>
      </c>
      <c r="F100" s="21">
        <f t="shared" si="23"/>
        <v>-36</v>
      </c>
      <c r="G100" s="21">
        <f t="shared" si="23"/>
        <v>0.5</v>
      </c>
    </row>
    <row r="101" spans="1:7">
      <c r="A101" s="21">
        <f t="shared" ref="A101:G101" si="24">A74-A$81</f>
        <v>2540</v>
      </c>
      <c r="B101" s="21">
        <f t="shared" si="24"/>
        <v>2.918749988079071</v>
      </c>
      <c r="C101" s="21">
        <f t="shared" si="24"/>
        <v>31481.5625</v>
      </c>
      <c r="D101" s="21">
        <f t="shared" si="24"/>
        <v>-371.3125</v>
      </c>
      <c r="E101" s="21">
        <f t="shared" si="24"/>
        <v>250.3125</v>
      </c>
      <c r="F101" s="21">
        <f t="shared" si="24"/>
        <v>1310</v>
      </c>
      <c r="G101" s="21">
        <f t="shared" si="24"/>
        <v>1.5</v>
      </c>
    </row>
    <row r="102" spans="1:7">
      <c r="A102" s="21">
        <f t="shared" ref="A102:G102" si="25">A75-A$81</f>
        <v>2852</v>
      </c>
      <c r="B102" s="21">
        <f t="shared" si="25"/>
        <v>6.71875</v>
      </c>
      <c r="C102" s="21">
        <f t="shared" si="25"/>
        <v>55070.5625</v>
      </c>
      <c r="D102" s="21">
        <f t="shared" si="25"/>
        <v>-257.3125</v>
      </c>
      <c r="E102" s="21">
        <f t="shared" si="25"/>
        <v>191.3125</v>
      </c>
      <c r="F102" s="21">
        <f t="shared" si="25"/>
        <v>3021</v>
      </c>
      <c r="G102" s="21">
        <f t="shared" si="25"/>
        <v>2.5</v>
      </c>
    </row>
    <row r="103" spans="1:7">
      <c r="A103" s="21">
        <f t="shared" ref="A103:G103" si="26">A76-A$81</f>
        <v>1196</v>
      </c>
      <c r="B103" s="21">
        <f t="shared" si="26"/>
        <v>9.1187499910593033</v>
      </c>
      <c r="C103" s="21">
        <f t="shared" si="26"/>
        <v>56847.5625</v>
      </c>
      <c r="D103" s="21">
        <f t="shared" si="26"/>
        <v>1487.6875</v>
      </c>
      <c r="E103" s="21">
        <f t="shared" si="26"/>
        <v>30.3125</v>
      </c>
      <c r="F103" s="21">
        <f t="shared" si="26"/>
        <v>4526</v>
      </c>
      <c r="G103" s="21">
        <f t="shared" si="26"/>
        <v>3.5</v>
      </c>
    </row>
    <row r="104" spans="1:7">
      <c r="A104" s="21">
        <f t="shared" ref="A104:G104" si="27">A77-A$81</f>
        <v>3338</v>
      </c>
      <c r="B104" s="21">
        <f t="shared" si="27"/>
        <v>10.918749988079071</v>
      </c>
      <c r="C104" s="21">
        <f t="shared" si="27"/>
        <v>95005.5625</v>
      </c>
      <c r="D104" s="21">
        <f t="shared" si="27"/>
        <v>619.6875</v>
      </c>
      <c r="E104" s="21">
        <f t="shared" si="27"/>
        <v>-54.6875</v>
      </c>
      <c r="F104" s="21">
        <f t="shared" si="27"/>
        <v>5942</v>
      </c>
      <c r="G104" s="21">
        <f t="shared" si="27"/>
        <v>4.5</v>
      </c>
    </row>
    <row r="105" spans="1:7">
      <c r="A105" s="21">
        <f t="shared" ref="A105:G105" si="28">A78-A$81</f>
        <v>4247</v>
      </c>
      <c r="B105" s="21">
        <f t="shared" si="28"/>
        <v>12.518749997019768</v>
      </c>
      <c r="C105" s="21">
        <f t="shared" si="28"/>
        <v>114902.5625</v>
      </c>
      <c r="D105" s="21">
        <f t="shared" si="28"/>
        <v>737.6875</v>
      </c>
      <c r="E105" s="21">
        <f t="shared" si="28"/>
        <v>-92.6875</v>
      </c>
      <c r="F105" s="21">
        <f t="shared" si="28"/>
        <v>7944</v>
      </c>
      <c r="G105" s="21">
        <f t="shared" si="28"/>
        <v>5.5</v>
      </c>
    </row>
    <row r="106" spans="1:7">
      <c r="A106" s="21">
        <f t="shared" ref="A106:G106" si="29">A79-A$81</f>
        <v>4014</v>
      </c>
      <c r="B106" s="21">
        <f t="shared" si="29"/>
        <v>14.018749997019768</v>
      </c>
      <c r="C106" s="21">
        <f t="shared" si="29"/>
        <v>130474.5625</v>
      </c>
      <c r="D106" s="21">
        <f t="shared" si="29"/>
        <v>1612.6875</v>
      </c>
      <c r="E106" s="21">
        <f t="shared" si="29"/>
        <v>-34.6875</v>
      </c>
      <c r="F106" s="21">
        <f t="shared" si="29"/>
        <v>10428</v>
      </c>
      <c r="G106" s="21">
        <f t="shared" si="29"/>
        <v>6.5</v>
      </c>
    </row>
    <row r="107" spans="1:7">
      <c r="A107" s="21">
        <f t="shared" ref="A107:G107" si="30">A80-A$81</f>
        <v>5234</v>
      </c>
      <c r="B107" s="21">
        <f t="shared" si="30"/>
        <v>15.21875</v>
      </c>
      <c r="C107" s="21">
        <f t="shared" si="30"/>
        <v>167195.5625</v>
      </c>
      <c r="D107" s="21">
        <f t="shared" si="30"/>
        <v>813.6875</v>
      </c>
      <c r="E107" s="21">
        <f t="shared" si="30"/>
        <v>220.3125</v>
      </c>
      <c r="F107" s="21">
        <f t="shared" si="30"/>
        <v>12657</v>
      </c>
      <c r="G107" s="21">
        <f t="shared" si="30"/>
        <v>7.5</v>
      </c>
    </row>
    <row r="111" spans="1:7">
      <c r="A111" s="21">
        <v>65317</v>
      </c>
      <c r="B111" s="21">
        <v>101.68125000000001</v>
      </c>
      <c r="C111" s="2">
        <v>387698</v>
      </c>
      <c r="D111" s="2">
        <v>3193</v>
      </c>
      <c r="E111" s="2">
        <v>2607</v>
      </c>
      <c r="F111" s="2">
        <v>117424</v>
      </c>
      <c r="G111" s="21">
        <v>1954</v>
      </c>
    </row>
    <row r="112" spans="1:7">
      <c r="A112">
        <v>100065317</v>
      </c>
      <c r="B112">
        <v>100000101.68125001</v>
      </c>
      <c r="C112">
        <v>100387698.4375</v>
      </c>
      <c r="D112">
        <v>100003193.3125</v>
      </c>
      <c r="E112">
        <v>100002606.6875</v>
      </c>
      <c r="F112">
        <v>100117424</v>
      </c>
      <c r="G112">
        <v>100001954.5</v>
      </c>
    </row>
    <row r="113" spans="1:7">
      <c r="A113">
        <f>A112-100000000</f>
        <v>65317</v>
      </c>
      <c r="B113" s="21">
        <f t="shared" ref="B113:G113" si="31">B112-100000000</f>
        <v>101.68125000596046</v>
      </c>
      <c r="C113">
        <f t="shared" si="31"/>
        <v>387698.4375</v>
      </c>
      <c r="D113">
        <f t="shared" si="31"/>
        <v>3193.3125</v>
      </c>
      <c r="E113">
        <f t="shared" si="31"/>
        <v>2606.6875</v>
      </c>
      <c r="F113">
        <f t="shared" si="31"/>
        <v>117424</v>
      </c>
      <c r="G113">
        <f t="shared" si="31"/>
        <v>1954.5</v>
      </c>
    </row>
    <row r="114" spans="1:7">
      <c r="A114" s="22">
        <f>A111-A113</f>
        <v>0</v>
      </c>
      <c r="B114" s="22">
        <f t="shared" ref="B114:G114" si="32">B111-B113</f>
        <v>-5.9604587931971764E-9</v>
      </c>
      <c r="C114" s="22">
        <f t="shared" si="32"/>
        <v>-0.4375</v>
      </c>
      <c r="D114" s="22">
        <f t="shared" si="32"/>
        <v>-0.3125</v>
      </c>
      <c r="E114" s="22">
        <f t="shared" si="32"/>
        <v>0.3125</v>
      </c>
      <c r="F114" s="22">
        <f t="shared" si="32"/>
        <v>0</v>
      </c>
      <c r="G114" s="22">
        <f t="shared" si="32"/>
        <v>-0.5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O38"/>
  <sheetViews>
    <sheetView topLeftCell="H4" workbookViewId="0">
      <selection activeCell="I22" sqref="I22:O28"/>
    </sheetView>
  </sheetViews>
  <sheetFormatPr defaultRowHeight="12.75"/>
  <cols>
    <col min="9" max="9" width="21" customWidth="1"/>
    <col min="10" max="10" width="14.85546875" customWidth="1"/>
    <col min="11" max="11" width="14.42578125" customWidth="1"/>
    <col min="12" max="12" width="14" customWidth="1"/>
    <col min="13" max="13" width="15.28515625" customWidth="1"/>
    <col min="14" max="14" width="15.85546875" customWidth="1"/>
    <col min="15" max="15" width="12.28515625" customWidth="1"/>
  </cols>
  <sheetData>
    <row r="1" spans="1:15" ht="38.25">
      <c r="A1" s="30" t="s">
        <v>81</v>
      </c>
      <c r="B1" s="30" t="s">
        <v>80</v>
      </c>
      <c r="C1" s="30" t="s">
        <v>79</v>
      </c>
      <c r="D1" s="30" t="s">
        <v>78</v>
      </c>
      <c r="E1" s="30" t="s">
        <v>77</v>
      </c>
      <c r="F1" s="30" t="s">
        <v>76</v>
      </c>
      <c r="I1" s="31" t="s">
        <v>91</v>
      </c>
      <c r="J1" s="31" t="s">
        <v>81</v>
      </c>
      <c r="K1" s="31" t="s">
        <v>80</v>
      </c>
      <c r="L1" s="31" t="s">
        <v>79</v>
      </c>
      <c r="M1" s="31" t="s">
        <v>78</v>
      </c>
      <c r="N1" s="31" t="s">
        <v>77</v>
      </c>
      <c r="O1" s="31" t="s">
        <v>76</v>
      </c>
    </row>
    <row r="2" spans="1:15">
      <c r="A2" s="3">
        <v>83</v>
      </c>
      <c r="B2" s="4">
        <v>234289</v>
      </c>
      <c r="C2" s="4">
        <v>2356</v>
      </c>
      <c r="D2" s="4">
        <v>1590</v>
      </c>
      <c r="E2" s="4">
        <v>107608</v>
      </c>
      <c r="F2" s="4">
        <v>1947</v>
      </c>
      <c r="I2" s="25" t="s">
        <v>81</v>
      </c>
      <c r="J2" s="25">
        <v>1</v>
      </c>
      <c r="K2" s="25"/>
      <c r="L2" s="25"/>
      <c r="M2" s="25"/>
      <c r="N2" s="25"/>
      <c r="O2" s="25"/>
    </row>
    <row r="3" spans="1:15">
      <c r="A3" s="3">
        <v>88.5</v>
      </c>
      <c r="B3" s="4">
        <v>259426</v>
      </c>
      <c r="C3" s="4">
        <v>2325</v>
      </c>
      <c r="D3" s="4">
        <v>1456</v>
      </c>
      <c r="E3" s="4">
        <v>108632</v>
      </c>
      <c r="F3" s="4">
        <v>1948</v>
      </c>
      <c r="I3" s="25" t="s">
        <v>80</v>
      </c>
      <c r="J3" s="25">
        <v>0.9916587434782359</v>
      </c>
      <c r="K3" s="25">
        <v>1</v>
      </c>
      <c r="L3" s="25"/>
      <c r="M3" s="25"/>
      <c r="N3" s="25"/>
      <c r="O3" s="25"/>
    </row>
    <row r="4" spans="1:15">
      <c r="A4" s="3">
        <v>88.2</v>
      </c>
      <c r="B4" s="4">
        <v>258054</v>
      </c>
      <c r="C4" s="4">
        <v>3682</v>
      </c>
      <c r="D4" s="4">
        <v>1616</v>
      </c>
      <c r="E4" s="4">
        <v>109773</v>
      </c>
      <c r="F4" s="4">
        <v>1949</v>
      </c>
      <c r="I4" s="25" t="s">
        <v>79</v>
      </c>
      <c r="J4" s="25">
        <v>0.62063339255909644</v>
      </c>
      <c r="K4" s="25">
        <v>0.59167072320364333</v>
      </c>
      <c r="L4" s="25">
        <v>1</v>
      </c>
      <c r="M4" s="25"/>
      <c r="N4" s="25"/>
      <c r="O4" s="25"/>
    </row>
    <row r="5" spans="1:15">
      <c r="A5" s="3">
        <v>89.5</v>
      </c>
      <c r="B5" s="4">
        <v>284599</v>
      </c>
      <c r="C5" s="4">
        <v>3351</v>
      </c>
      <c r="D5" s="4">
        <v>1650</v>
      </c>
      <c r="E5" s="4">
        <v>110929</v>
      </c>
      <c r="F5" s="4">
        <v>1950</v>
      </c>
      <c r="I5" s="25" t="s">
        <v>78</v>
      </c>
      <c r="J5" s="25">
        <v>0.46474418760067454</v>
      </c>
      <c r="K5" s="25">
        <v>0.49099574221207609</v>
      </c>
      <c r="L5" s="25">
        <v>-0.17742062950187831</v>
      </c>
      <c r="M5" s="25">
        <v>1</v>
      </c>
      <c r="N5" s="25"/>
      <c r="O5" s="25"/>
    </row>
    <row r="6" spans="1:15">
      <c r="A6" s="3">
        <v>96.2</v>
      </c>
      <c r="C6" s="4">
        <v>2099</v>
      </c>
      <c r="D6" s="4">
        <v>3099</v>
      </c>
      <c r="E6" s="4">
        <v>112075</v>
      </c>
      <c r="F6" s="4">
        <v>1951</v>
      </c>
      <c r="I6" s="25" t="s">
        <v>77</v>
      </c>
      <c r="J6" s="25">
        <v>0.97916343297749786</v>
      </c>
      <c r="K6" s="25">
        <v>0.99198880443380399</v>
      </c>
      <c r="L6" s="25">
        <v>0.68655151636531198</v>
      </c>
      <c r="M6" s="25">
        <v>0.36441626718903197</v>
      </c>
      <c r="N6" s="25">
        <v>1</v>
      </c>
      <c r="O6" s="25"/>
    </row>
    <row r="7" spans="1:15" ht="13.5" thickBot="1">
      <c r="A7" s="3">
        <v>98.1</v>
      </c>
      <c r="B7" s="4">
        <v>346999</v>
      </c>
      <c r="C7" s="4">
        <v>1932</v>
      </c>
      <c r="D7" s="4">
        <v>3594</v>
      </c>
      <c r="E7" s="4">
        <v>113270</v>
      </c>
      <c r="F7" s="4">
        <v>1952</v>
      </c>
      <c r="I7" s="26" t="s">
        <v>76</v>
      </c>
      <c r="J7" s="26">
        <v>0.99114919006720537</v>
      </c>
      <c r="K7" s="26">
        <v>0.99590864398792533</v>
      </c>
      <c r="L7" s="26">
        <v>0.66825660456217462</v>
      </c>
      <c r="M7" s="26">
        <v>0.41724514983494537</v>
      </c>
      <c r="N7" s="26">
        <v>0.99395284623292546</v>
      </c>
      <c r="O7" s="26">
        <v>1</v>
      </c>
    </row>
    <row r="8" spans="1:15">
      <c r="A8" s="3">
        <v>99</v>
      </c>
      <c r="B8" s="4">
        <v>365385</v>
      </c>
      <c r="C8" s="4">
        <v>1870</v>
      </c>
      <c r="D8" s="4">
        <v>3547</v>
      </c>
      <c r="E8" s="4">
        <v>115094</v>
      </c>
      <c r="F8" s="4">
        <v>1953</v>
      </c>
    </row>
    <row r="9" spans="1:15">
      <c r="A9" s="3">
        <v>100</v>
      </c>
      <c r="B9" s="4">
        <v>363112</v>
      </c>
      <c r="C9" s="4">
        <v>3578</v>
      </c>
      <c r="D9" s="4">
        <v>3350</v>
      </c>
      <c r="E9" s="4">
        <v>116219</v>
      </c>
      <c r="F9" s="4">
        <v>1954</v>
      </c>
    </row>
    <row r="10" spans="1:15">
      <c r="A10" s="3">
        <v>101.2</v>
      </c>
      <c r="B10" s="4">
        <v>397469</v>
      </c>
      <c r="C10" s="4">
        <v>2904</v>
      </c>
      <c r="D10" s="4">
        <v>3048</v>
      </c>
      <c r="E10" s="4">
        <v>117388</v>
      </c>
      <c r="F10" s="4">
        <v>1955</v>
      </c>
    </row>
    <row r="11" spans="1:15">
      <c r="A11" s="3">
        <v>104.6</v>
      </c>
      <c r="B11" s="4">
        <v>419180</v>
      </c>
      <c r="C11" s="4">
        <v>2822</v>
      </c>
      <c r="D11" s="4">
        <v>2857</v>
      </c>
      <c r="E11" s="4">
        <v>118734</v>
      </c>
      <c r="F11" s="4">
        <v>1956</v>
      </c>
    </row>
    <row r="12" spans="1:15">
      <c r="A12" s="3">
        <v>108.4</v>
      </c>
      <c r="B12" s="4">
        <v>442769</v>
      </c>
      <c r="C12" s="4">
        <v>2936</v>
      </c>
      <c r="D12" s="4">
        <v>2798</v>
      </c>
      <c r="E12" s="4">
        <v>120445</v>
      </c>
      <c r="F12" s="4">
        <v>1957</v>
      </c>
    </row>
    <row r="13" spans="1:15">
      <c r="A13" s="3">
        <v>110.8</v>
      </c>
      <c r="B13" s="4">
        <v>444546</v>
      </c>
      <c r="C13" s="4">
        <v>4681</v>
      </c>
      <c r="D13" s="4">
        <v>2637</v>
      </c>
      <c r="E13" s="4">
        <v>121950</v>
      </c>
      <c r="F13" s="4">
        <v>1958</v>
      </c>
    </row>
    <row r="14" spans="1:15">
      <c r="A14" s="3">
        <v>112.6</v>
      </c>
      <c r="B14" s="4">
        <v>482704</v>
      </c>
      <c r="C14" s="4">
        <v>3813</v>
      </c>
      <c r="D14" s="4">
        <v>2552</v>
      </c>
      <c r="E14" s="4">
        <v>123366</v>
      </c>
      <c r="F14" s="4">
        <v>1959</v>
      </c>
    </row>
    <row r="15" spans="1:15">
      <c r="A15" s="3">
        <v>114.2</v>
      </c>
      <c r="B15" s="4">
        <v>502601</v>
      </c>
      <c r="C15" s="4">
        <v>3931</v>
      </c>
      <c r="D15" s="4">
        <v>2514</v>
      </c>
      <c r="E15" s="4">
        <v>125368</v>
      </c>
      <c r="F15" s="4">
        <v>1960</v>
      </c>
    </row>
    <row r="16" spans="1:15">
      <c r="A16" s="3">
        <v>115.7</v>
      </c>
      <c r="B16" s="4">
        <v>518173</v>
      </c>
      <c r="C16" s="4">
        <v>4806</v>
      </c>
      <c r="D16" s="4">
        <v>2572</v>
      </c>
      <c r="E16" s="4">
        <v>127852</v>
      </c>
      <c r="F16" s="4">
        <v>1961</v>
      </c>
    </row>
    <row r="17" spans="1:15">
      <c r="A17" s="3">
        <v>116.9</v>
      </c>
      <c r="B17" s="4">
        <v>554894</v>
      </c>
      <c r="C17" s="4">
        <v>4007</v>
      </c>
      <c r="D17" s="4">
        <v>2827</v>
      </c>
      <c r="E17" s="4">
        <v>130081</v>
      </c>
      <c r="F17" s="4">
        <v>1962</v>
      </c>
    </row>
    <row r="21" spans="1:15" ht="13.5" thickBot="1"/>
    <row r="22" spans="1:15" ht="38.25">
      <c r="A22" s="30" t="s">
        <v>81</v>
      </c>
      <c r="B22" s="30" t="s">
        <v>80</v>
      </c>
      <c r="C22" s="30" t="s">
        <v>79</v>
      </c>
      <c r="D22" s="30" t="s">
        <v>78</v>
      </c>
      <c r="E22" s="30" t="s">
        <v>77</v>
      </c>
      <c r="F22" s="30" t="s">
        <v>76</v>
      </c>
      <c r="I22" s="27" t="s">
        <v>92</v>
      </c>
      <c r="J22" s="31" t="s">
        <v>81</v>
      </c>
      <c r="K22" s="31" t="s">
        <v>80</v>
      </c>
      <c r="L22" s="31" t="s">
        <v>79</v>
      </c>
      <c r="M22" s="31" t="s">
        <v>78</v>
      </c>
      <c r="N22" s="31" t="s">
        <v>77</v>
      </c>
      <c r="O22" s="31" t="s">
        <v>76</v>
      </c>
    </row>
    <row r="23" spans="1:15">
      <c r="A23" s="3">
        <v>83</v>
      </c>
      <c r="B23" s="4">
        <v>234289</v>
      </c>
      <c r="C23" s="4">
        <v>2356</v>
      </c>
      <c r="D23" s="4">
        <v>1590</v>
      </c>
      <c r="E23" s="4">
        <v>107608</v>
      </c>
      <c r="F23" s="4">
        <v>1947</v>
      </c>
      <c r="I23" s="25" t="s">
        <v>81</v>
      </c>
      <c r="J23" s="25">
        <v>1</v>
      </c>
      <c r="K23" s="25"/>
      <c r="L23" s="25"/>
      <c r="M23" s="25"/>
      <c r="N23" s="25"/>
      <c r="O23" s="25"/>
    </row>
    <row r="24" spans="1:15">
      <c r="A24" s="3">
        <v>88.5</v>
      </c>
      <c r="B24" s="4">
        <v>259426</v>
      </c>
      <c r="C24" s="4">
        <v>2325</v>
      </c>
      <c r="D24" s="4">
        <v>1456</v>
      </c>
      <c r="E24" s="4">
        <v>108632</v>
      </c>
      <c r="F24" s="4">
        <v>1948</v>
      </c>
      <c r="I24" s="25" t="s">
        <v>80</v>
      </c>
      <c r="J24" s="25">
        <v>0.9915891780247823</v>
      </c>
      <c r="K24" s="25">
        <v>1</v>
      </c>
      <c r="L24" s="25"/>
      <c r="M24" s="25"/>
      <c r="N24" s="25"/>
      <c r="O24" s="25"/>
    </row>
    <row r="25" spans="1:15">
      <c r="A25" s="3">
        <v>88.2</v>
      </c>
      <c r="B25" s="4">
        <v>258054</v>
      </c>
      <c r="C25" s="4">
        <v>3682</v>
      </c>
      <c r="D25" s="4">
        <v>1616</v>
      </c>
      <c r="E25" s="4">
        <v>109773</v>
      </c>
      <c r="F25" s="4">
        <v>1949</v>
      </c>
      <c r="I25" s="25" t="s">
        <v>79</v>
      </c>
      <c r="J25" s="25">
        <v>0.62063339255909644</v>
      </c>
      <c r="K25" s="25">
        <v>0.60426093988955787</v>
      </c>
      <c r="L25" s="25">
        <v>1</v>
      </c>
      <c r="M25" s="25"/>
      <c r="N25" s="25"/>
      <c r="O25" s="25"/>
    </row>
    <row r="26" spans="1:15">
      <c r="A26" s="3">
        <v>89.5</v>
      </c>
      <c r="B26" s="4">
        <v>284599</v>
      </c>
      <c r="C26" s="4">
        <v>3351</v>
      </c>
      <c r="D26" s="4">
        <v>1650</v>
      </c>
      <c r="E26" s="4">
        <v>110929</v>
      </c>
      <c r="F26" s="4">
        <v>1950</v>
      </c>
      <c r="I26" s="25" t="s">
        <v>78</v>
      </c>
      <c r="J26" s="25">
        <v>0.46474418760067454</v>
      </c>
      <c r="K26" s="25">
        <v>0.44643679189262642</v>
      </c>
      <c r="L26" s="25">
        <v>-0.17742062950187831</v>
      </c>
      <c r="M26" s="25">
        <v>1</v>
      </c>
      <c r="N26" s="25"/>
      <c r="O26" s="25"/>
    </row>
    <row r="27" spans="1:15">
      <c r="A27" s="3">
        <v>96.2</v>
      </c>
      <c r="B27" s="4">
        <v>328975</v>
      </c>
      <c r="C27" s="4">
        <v>2099</v>
      </c>
      <c r="D27" s="4">
        <v>3099</v>
      </c>
      <c r="E27" s="4">
        <v>112075</v>
      </c>
      <c r="F27" s="4">
        <v>1951</v>
      </c>
      <c r="I27" s="25" t="s">
        <v>77</v>
      </c>
      <c r="J27" s="25">
        <v>0.97916343297749786</v>
      </c>
      <c r="K27" s="25">
        <v>0.99109006945847766</v>
      </c>
      <c r="L27" s="25">
        <v>0.68655151636531198</v>
      </c>
      <c r="M27" s="25">
        <v>0.36441626718903197</v>
      </c>
      <c r="N27" s="25">
        <v>1</v>
      </c>
      <c r="O27" s="25"/>
    </row>
    <row r="28" spans="1:15" ht="13.5" thickBot="1">
      <c r="A28" s="3">
        <v>98.1</v>
      </c>
      <c r="B28" s="4">
        <v>346999</v>
      </c>
      <c r="C28" s="4">
        <v>1932</v>
      </c>
      <c r="D28" s="4">
        <v>3594</v>
      </c>
      <c r="E28" s="4">
        <v>113270</v>
      </c>
      <c r="F28" s="4">
        <v>1952</v>
      </c>
      <c r="I28" s="26" t="s">
        <v>76</v>
      </c>
      <c r="J28" s="26">
        <v>0.99114919006720537</v>
      </c>
      <c r="K28" s="26">
        <v>0.99527348376478475</v>
      </c>
      <c r="L28" s="26">
        <v>0.66825660456217462</v>
      </c>
      <c r="M28" s="26">
        <v>0.41724514983494537</v>
      </c>
      <c r="N28" s="26">
        <v>0.99395284623292546</v>
      </c>
      <c r="O28" s="26">
        <v>1</v>
      </c>
    </row>
    <row r="29" spans="1:15">
      <c r="A29" s="3">
        <v>99</v>
      </c>
      <c r="B29" s="4">
        <v>365385</v>
      </c>
      <c r="C29" s="4">
        <v>1870</v>
      </c>
      <c r="D29" s="4">
        <v>3547</v>
      </c>
      <c r="E29" s="4">
        <v>115094</v>
      </c>
      <c r="F29" s="4">
        <v>1953</v>
      </c>
    </row>
    <row r="30" spans="1:15">
      <c r="A30" s="3">
        <v>100</v>
      </c>
      <c r="B30" s="4">
        <v>363112</v>
      </c>
      <c r="C30" s="4">
        <v>3578</v>
      </c>
      <c r="D30" s="4">
        <v>3350</v>
      </c>
      <c r="E30" s="4">
        <v>116219</v>
      </c>
      <c r="F30" s="4">
        <v>1954</v>
      </c>
    </row>
    <row r="31" spans="1:15">
      <c r="A31" s="3">
        <v>101.2</v>
      </c>
      <c r="B31" s="4">
        <v>397469</v>
      </c>
      <c r="C31" s="4">
        <v>2904</v>
      </c>
      <c r="D31" s="4">
        <v>3048</v>
      </c>
      <c r="E31" s="4">
        <v>117388</v>
      </c>
      <c r="F31" s="4">
        <v>1955</v>
      </c>
    </row>
    <row r="32" spans="1:15">
      <c r="A32" s="3">
        <v>104.6</v>
      </c>
      <c r="B32" s="4">
        <v>419180</v>
      </c>
      <c r="C32" s="4">
        <v>2822</v>
      </c>
      <c r="D32" s="4">
        <v>2857</v>
      </c>
      <c r="E32" s="4">
        <v>118734</v>
      </c>
      <c r="F32" s="4">
        <v>1956</v>
      </c>
    </row>
    <row r="33" spans="1:6">
      <c r="A33" s="3">
        <v>108.4</v>
      </c>
      <c r="B33" s="4">
        <v>442769</v>
      </c>
      <c r="C33" s="4">
        <v>2936</v>
      </c>
      <c r="D33" s="4">
        <v>2798</v>
      </c>
      <c r="E33" s="4">
        <v>120445</v>
      </c>
      <c r="F33" s="4">
        <v>1957</v>
      </c>
    </row>
    <row r="34" spans="1:6">
      <c r="A34" s="3">
        <v>110.8</v>
      </c>
      <c r="B34" s="4">
        <v>444546</v>
      </c>
      <c r="C34" s="4">
        <v>4681</v>
      </c>
      <c r="D34" s="4">
        <v>2637</v>
      </c>
      <c r="E34" s="4">
        <v>121950</v>
      </c>
      <c r="F34" s="4">
        <v>1958</v>
      </c>
    </row>
    <row r="35" spans="1:6">
      <c r="A35" s="3">
        <v>112.6</v>
      </c>
      <c r="B35" s="4">
        <v>482704</v>
      </c>
      <c r="C35" s="4">
        <v>3813</v>
      </c>
      <c r="D35" s="4">
        <v>2552</v>
      </c>
      <c r="E35" s="4">
        <v>123366</v>
      </c>
      <c r="F35" s="4">
        <v>1959</v>
      </c>
    </row>
    <row r="36" spans="1:6">
      <c r="A36" s="3">
        <v>114.2</v>
      </c>
      <c r="B36" s="4">
        <v>502601</v>
      </c>
      <c r="C36" s="4">
        <v>3931</v>
      </c>
      <c r="D36" s="4">
        <v>2514</v>
      </c>
      <c r="E36" s="4">
        <v>125368</v>
      </c>
      <c r="F36" s="4">
        <v>1960</v>
      </c>
    </row>
    <row r="37" spans="1:6">
      <c r="A37" s="3">
        <v>115.7</v>
      </c>
      <c r="B37" s="4">
        <v>518173</v>
      </c>
      <c r="C37" s="4">
        <v>4806</v>
      </c>
      <c r="D37" s="4">
        <v>2572</v>
      </c>
      <c r="E37" s="4">
        <v>127852</v>
      </c>
      <c r="F37" s="4">
        <v>1961</v>
      </c>
    </row>
    <row r="38" spans="1:6">
      <c r="A38" s="3">
        <v>116.9</v>
      </c>
      <c r="B38" s="4">
        <v>554894</v>
      </c>
      <c r="C38" s="4">
        <v>4007</v>
      </c>
      <c r="D38" s="4">
        <v>2827</v>
      </c>
      <c r="E38" s="4">
        <v>130081</v>
      </c>
      <c r="F38" s="4">
        <v>1962</v>
      </c>
    </row>
  </sheetData>
  <phoneticPr fontId="3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L45"/>
  <sheetViews>
    <sheetView topLeftCell="C1" workbookViewId="0">
      <selection activeCell="X3" sqref="X3"/>
    </sheetView>
  </sheetViews>
  <sheetFormatPr defaultRowHeight="12.75"/>
  <cols>
    <col min="1" max="1" width="14.85546875" customWidth="1"/>
    <col min="2" max="2" width="16.28515625" customWidth="1"/>
    <col min="3" max="3" width="14.42578125" customWidth="1"/>
    <col min="4" max="4" width="15" customWidth="1"/>
    <col min="5" max="5" width="14" customWidth="1"/>
    <col min="6" max="6" width="14.7109375" customWidth="1"/>
    <col min="7" max="7" width="15.28515625" customWidth="1"/>
    <col min="8" max="8" width="17.140625" customWidth="1"/>
    <col min="9" max="9" width="16" customWidth="1"/>
    <col min="11" max="11" width="22.28515625" customWidth="1"/>
    <col min="12" max="12" width="15.140625" customWidth="1"/>
  </cols>
  <sheetData>
    <row r="1" spans="1:9">
      <c r="A1" t="s">
        <v>0</v>
      </c>
    </row>
    <row r="3" spans="1:9">
      <c r="A3" s="5" t="s">
        <v>1</v>
      </c>
      <c r="B3" s="5"/>
    </row>
    <row r="4" spans="1:9">
      <c r="A4" s="5" t="s">
        <v>2</v>
      </c>
      <c r="B4" s="5">
        <v>0.99773694157192327</v>
      </c>
      <c r="D4">
        <f>C12/C14</f>
        <v>0.99547900457729555</v>
      </c>
    </row>
    <row r="5" spans="1:9">
      <c r="A5" s="5" t="s">
        <v>3</v>
      </c>
      <c r="B5" s="5">
        <v>0.99547900457729555</v>
      </c>
      <c r="E5">
        <f>1-(D13/D14)</f>
        <v>0.99246500762882595</v>
      </c>
    </row>
    <row r="6" spans="1:9">
      <c r="A6" s="5" t="s">
        <v>4</v>
      </c>
      <c r="B6" s="5">
        <v>0.99246500762882583</v>
      </c>
    </row>
    <row r="7" spans="1:9">
      <c r="A7" s="5" t="s">
        <v>5</v>
      </c>
      <c r="B7" s="5">
        <v>304.85407356196566</v>
      </c>
    </row>
    <row r="8" spans="1:9">
      <c r="A8" s="5" t="s">
        <v>6</v>
      </c>
      <c r="B8" s="5">
        <v>16</v>
      </c>
    </row>
    <row r="10" spans="1:9">
      <c r="A10" t="s">
        <v>7</v>
      </c>
    </row>
    <row r="11" spans="1:9">
      <c r="A11" s="5"/>
      <c r="B11" s="5" t="s">
        <v>12</v>
      </c>
      <c r="C11" s="5" t="s">
        <v>13</v>
      </c>
      <c r="D11" s="5" t="s">
        <v>14</v>
      </c>
      <c r="E11" s="5" t="s">
        <v>15</v>
      </c>
      <c r="F11" s="5" t="s">
        <v>16</v>
      </c>
    </row>
    <row r="12" spans="1:9">
      <c r="A12" s="5" t="s">
        <v>8</v>
      </c>
      <c r="B12" s="5">
        <v>6</v>
      </c>
      <c r="C12" s="5">
        <v>184172401.94449407</v>
      </c>
      <c r="D12" s="5">
        <v>30695400.324082345</v>
      </c>
      <c r="E12" s="5">
        <v>330.28533923458639</v>
      </c>
      <c r="F12" s="5">
        <v>4.9840305291322258E-10</v>
      </c>
    </row>
    <row r="13" spans="1:9">
      <c r="A13" s="5" t="s">
        <v>9</v>
      </c>
      <c r="B13" s="5">
        <v>9</v>
      </c>
      <c r="C13" s="5">
        <v>836424.05550591939</v>
      </c>
      <c r="D13" s="5">
        <v>92936.006167324376</v>
      </c>
      <c r="E13" s="5"/>
      <c r="F13" s="5"/>
    </row>
    <row r="14" spans="1:9">
      <c r="A14" s="5" t="s">
        <v>10</v>
      </c>
      <c r="B14" s="5">
        <v>15</v>
      </c>
      <c r="C14" s="5">
        <v>185008826</v>
      </c>
      <c r="D14" s="5">
        <f>C14/B14</f>
        <v>12333921.733333332</v>
      </c>
      <c r="E14" s="5"/>
      <c r="F14" s="5"/>
    </row>
    <row r="16" spans="1:9">
      <c r="A16" s="5"/>
      <c r="B16" s="5" t="s">
        <v>17</v>
      </c>
      <c r="C16" s="5" t="s">
        <v>5</v>
      </c>
      <c r="D16" s="5" t="s">
        <v>18</v>
      </c>
      <c r="E16" s="5" t="s">
        <v>19</v>
      </c>
      <c r="F16" s="5" t="s">
        <v>20</v>
      </c>
      <c r="G16" s="5" t="s">
        <v>21</v>
      </c>
      <c r="H16" s="5" t="s">
        <v>22</v>
      </c>
      <c r="I16" s="5" t="s">
        <v>23</v>
      </c>
    </row>
    <row r="17" spans="1:12">
      <c r="A17" s="5" t="s">
        <v>11</v>
      </c>
      <c r="B17" s="5">
        <v>-3482258.6538903117</v>
      </c>
      <c r="C17" s="5">
        <v>890420.38577311742</v>
      </c>
      <c r="D17" s="5">
        <v>-3.910802930311172</v>
      </c>
      <c r="E17" s="5">
        <v>3.5604035873861798E-3</v>
      </c>
      <c r="F17" s="5">
        <v>-5496531.0426249756</v>
      </c>
      <c r="G17" s="5">
        <v>-1467986.2651556481</v>
      </c>
      <c r="H17" s="5">
        <v>-5496531.0426249756</v>
      </c>
      <c r="I17" s="5">
        <v>-1467986.2651556481</v>
      </c>
      <c r="K17" s="6">
        <v>-3482258.6345958202</v>
      </c>
      <c r="L17" t="e">
        <f ca="1">[1]!NewLRE(B17,K17)</f>
        <v>#NAME?</v>
      </c>
    </row>
    <row r="18" spans="1:12">
      <c r="A18" s="5" t="s">
        <v>24</v>
      </c>
      <c r="B18" s="5">
        <v>15.061872677078579</v>
      </c>
      <c r="C18" s="5">
        <v>84.914925782507609</v>
      </c>
      <c r="D18" s="5">
        <v>0.17737603299161464</v>
      </c>
      <c r="E18" s="5">
        <v>0.86314082918788548</v>
      </c>
      <c r="F18" s="5">
        <v>-177.02918131047059</v>
      </c>
      <c r="G18" s="5">
        <v>207.15292666462776</v>
      </c>
      <c r="H18" s="5">
        <v>-177.02918131047059</v>
      </c>
      <c r="I18" s="5">
        <v>207.15292666462776</v>
      </c>
      <c r="K18" s="6">
        <v>15.0618722713733</v>
      </c>
      <c r="L18" t="e">
        <f ca="1">[1]!NewLRE(B18,K18)</f>
        <v>#NAME?</v>
      </c>
    </row>
    <row r="19" spans="1:12">
      <c r="A19" s="5" t="s">
        <v>25</v>
      </c>
      <c r="B19" s="5">
        <v>-3.5819179890225497E-2</v>
      </c>
      <c r="C19" s="5">
        <v>3.3491007824219952E-2</v>
      </c>
      <c r="D19" s="5">
        <v>-1.0695163334058244</v>
      </c>
      <c r="E19" s="5">
        <v>0.31268105423782477</v>
      </c>
      <c r="F19" s="5">
        <v>-0.11158116087031045</v>
      </c>
      <c r="G19" s="5">
        <v>3.9942801089859453E-2</v>
      </c>
      <c r="H19" s="5">
        <v>-0.11158116087031045</v>
      </c>
      <c r="I19" s="5">
        <v>3.9942801089859453E-2</v>
      </c>
      <c r="K19" s="6">
        <v>-3.5819179292591E-2</v>
      </c>
      <c r="L19" t="e">
        <f ca="1">[1]!NewLRE(B19,K19)</f>
        <v>#NAME?</v>
      </c>
    </row>
    <row r="20" spans="1:12">
      <c r="A20" s="5" t="s">
        <v>26</v>
      </c>
      <c r="B20" s="5">
        <v>-2.0202298127277309</v>
      </c>
      <c r="C20" s="5">
        <v>0.48839968245313142</v>
      </c>
      <c r="D20" s="5">
        <v>-4.1364273673982161</v>
      </c>
      <c r="E20" s="5">
        <v>2.5350916872560209E-3</v>
      </c>
      <c r="F20" s="5">
        <v>-3.1250674947378423</v>
      </c>
      <c r="G20" s="5">
        <v>-0.9153921307176196</v>
      </c>
      <c r="H20" s="5">
        <v>-3.1250674947378423</v>
      </c>
      <c r="I20" s="5">
        <v>-0.9153921307176196</v>
      </c>
      <c r="K20" s="6">
        <v>-2.02022980381683</v>
      </c>
      <c r="L20" t="e">
        <f ca="1">[1]!NewLRE(B20,K20)</f>
        <v>#NAME?</v>
      </c>
    </row>
    <row r="21" spans="1:12">
      <c r="A21" s="5" t="s">
        <v>27</v>
      </c>
      <c r="B21" s="5">
        <v>-1.0332268697492479</v>
      </c>
      <c r="C21" s="5">
        <v>0.21427416332259225</v>
      </c>
      <c r="D21" s="5">
        <v>-4.8219853188445914</v>
      </c>
      <c r="E21" s="5">
        <v>9.4436675291309654E-4</v>
      </c>
      <c r="F21" s="5">
        <v>-1.517949072537959</v>
      </c>
      <c r="G21" s="5">
        <v>-0.5485046669605369</v>
      </c>
      <c r="H21" s="5">
        <v>-1.517949072537959</v>
      </c>
      <c r="I21" s="5">
        <v>-0.5485046669605369</v>
      </c>
      <c r="K21" s="6">
        <v>-1.03322686717359</v>
      </c>
      <c r="L21" t="e">
        <f ca="1">[1]!NewLRE(B21,K21)</f>
        <v>#NAME?</v>
      </c>
    </row>
    <row r="22" spans="1:12">
      <c r="A22" s="5" t="s">
        <v>28</v>
      </c>
      <c r="B22" s="5">
        <v>-5.1104103600562556E-2</v>
      </c>
      <c r="C22" s="5">
        <v>0.22607320014869337</v>
      </c>
      <c r="D22" s="5">
        <v>-0.2260511355036787</v>
      </c>
      <c r="E22" s="5">
        <v>0.82621180268725314</v>
      </c>
      <c r="F22" s="5">
        <v>-0.56251760240204796</v>
      </c>
      <c r="G22" s="5">
        <v>0.46030939520092279</v>
      </c>
      <c r="H22" s="5">
        <v>-0.56251760240204796</v>
      </c>
      <c r="I22" s="5">
        <v>0.46030939520092279</v>
      </c>
      <c r="K22" s="6">
        <v>-5.11041056535807E-2</v>
      </c>
      <c r="L22" t="e">
        <f ca="1">[1]!NewLRE(B22,K22)</f>
        <v>#NAME?</v>
      </c>
    </row>
    <row r="23" spans="1:12">
      <c r="A23" s="5" t="s">
        <v>29</v>
      </c>
      <c r="B23" s="5">
        <v>1829.1514744774752</v>
      </c>
      <c r="C23" s="5">
        <v>455.47850025123643</v>
      </c>
      <c r="D23" s="5">
        <v>4.0158898245878509</v>
      </c>
      <c r="E23" s="5">
        <v>3.0368032809638479E-3</v>
      </c>
      <c r="F23" s="5">
        <v>798.78673735193524</v>
      </c>
      <c r="G23" s="5">
        <v>2859.5162116030151</v>
      </c>
      <c r="H23" s="5">
        <v>798.78673735193524</v>
      </c>
      <c r="I23" s="5">
        <v>2859.5162116030151</v>
      </c>
      <c r="K23" s="6">
        <v>1829.1514646135499</v>
      </c>
      <c r="L23" t="e">
        <f ca="1">[1]!NewLRE(B23,K23)</f>
        <v>#NAME?</v>
      </c>
    </row>
    <row r="27" spans="1:12">
      <c r="A27" t="s">
        <v>30</v>
      </c>
      <c r="E27" t="s">
        <v>54</v>
      </c>
    </row>
    <row r="29" spans="1:12">
      <c r="A29" s="5" t="s">
        <v>31</v>
      </c>
      <c r="B29" s="5" t="s">
        <v>32</v>
      </c>
      <c r="C29" s="5" t="s">
        <v>33</v>
      </c>
      <c r="E29" s="5" t="s">
        <v>55</v>
      </c>
      <c r="F29" s="5" t="s">
        <v>56</v>
      </c>
    </row>
    <row r="30" spans="1:12">
      <c r="A30" s="5">
        <v>1</v>
      </c>
      <c r="B30" s="5">
        <v>60055.65997029189</v>
      </c>
      <c r="C30" s="5">
        <v>267.3400297081098</v>
      </c>
      <c r="E30" s="5">
        <v>3.125</v>
      </c>
      <c r="F30" s="5">
        <v>60171</v>
      </c>
    </row>
    <row r="31" spans="1:12">
      <c r="A31" s="5">
        <v>2</v>
      </c>
      <c r="B31" s="5">
        <v>61216.013942246325</v>
      </c>
      <c r="C31" s="5">
        <v>-94.013942246325314</v>
      </c>
      <c r="E31" s="5">
        <v>9.375</v>
      </c>
      <c r="F31" s="5">
        <v>60323</v>
      </c>
    </row>
    <row r="32" spans="1:12">
      <c r="A32" s="5">
        <v>3</v>
      </c>
      <c r="B32" s="5">
        <v>60124.712832489982</v>
      </c>
      <c r="C32" s="5">
        <v>46.287167510017753</v>
      </c>
      <c r="E32" s="5">
        <v>15.625</v>
      </c>
      <c r="F32" s="5">
        <v>61122</v>
      </c>
    </row>
    <row r="33" spans="1:6">
      <c r="A33" s="5">
        <v>4</v>
      </c>
      <c r="B33" s="5">
        <v>61597.114621941</v>
      </c>
      <c r="C33" s="5">
        <v>-410.11462194100022</v>
      </c>
      <c r="E33" s="5">
        <v>21.875</v>
      </c>
      <c r="F33" s="5">
        <v>61187</v>
      </c>
    </row>
    <row r="34" spans="1:6">
      <c r="A34" s="5">
        <v>5</v>
      </c>
      <c r="B34" s="5">
        <v>62911.285405089147</v>
      </c>
      <c r="C34" s="5">
        <v>309.71459491085261</v>
      </c>
      <c r="E34" s="5">
        <v>28.125</v>
      </c>
      <c r="F34" s="5">
        <v>63221</v>
      </c>
    </row>
    <row r="35" spans="1:6">
      <c r="A35" s="5">
        <v>6</v>
      </c>
      <c r="B35" s="5">
        <v>63888.311213708483</v>
      </c>
      <c r="C35" s="5">
        <v>-249.31121370848268</v>
      </c>
      <c r="E35" s="5">
        <v>34.375</v>
      </c>
      <c r="F35" s="5">
        <v>63639</v>
      </c>
    </row>
    <row r="36" spans="1:6">
      <c r="A36" s="5">
        <v>7</v>
      </c>
      <c r="B36" s="5">
        <v>65153.048958433792</v>
      </c>
      <c r="C36" s="5">
        <v>-164.048958433792</v>
      </c>
      <c r="E36" s="5">
        <v>40.625</v>
      </c>
      <c r="F36" s="5">
        <v>63761</v>
      </c>
    </row>
    <row r="37" spans="1:6">
      <c r="A37" s="5">
        <v>8</v>
      </c>
      <c r="B37" s="5">
        <v>63774.180358129553</v>
      </c>
      <c r="C37" s="5">
        <v>-13.180358129553497</v>
      </c>
      <c r="E37" s="5">
        <v>46.875</v>
      </c>
      <c r="F37" s="5">
        <v>64989</v>
      </c>
    </row>
    <row r="38" spans="1:6">
      <c r="A38" s="5">
        <v>9</v>
      </c>
      <c r="B38" s="5">
        <v>66004.695227665361</v>
      </c>
      <c r="C38" s="5">
        <v>14.304772334638983</v>
      </c>
      <c r="E38" s="5">
        <v>53.125</v>
      </c>
      <c r="F38" s="5">
        <v>66019</v>
      </c>
    </row>
    <row r="39" spans="1:6">
      <c r="A39" s="5">
        <v>10</v>
      </c>
      <c r="B39" s="5">
        <v>67401.605907967314</v>
      </c>
      <c r="C39" s="5">
        <v>455.39409203268588</v>
      </c>
      <c r="E39" s="5">
        <v>59.375</v>
      </c>
      <c r="F39" s="5">
        <v>66513</v>
      </c>
    </row>
    <row r="40" spans="1:6">
      <c r="A40" s="5">
        <v>11</v>
      </c>
      <c r="B40" s="5">
        <v>68186.268929590937</v>
      </c>
      <c r="C40" s="5">
        <v>-17.26892959093675</v>
      </c>
      <c r="E40" s="5">
        <v>65.625</v>
      </c>
      <c r="F40" s="5">
        <v>67857</v>
      </c>
    </row>
    <row r="41" spans="1:6">
      <c r="A41" s="5">
        <v>12</v>
      </c>
      <c r="B41" s="5">
        <v>66552.055042729247</v>
      </c>
      <c r="C41" s="5">
        <v>-39.055042729247361</v>
      </c>
      <c r="E41" s="5">
        <v>71.875</v>
      </c>
      <c r="F41" s="5">
        <v>68169</v>
      </c>
    </row>
    <row r="42" spans="1:6">
      <c r="A42" s="5">
        <v>13</v>
      </c>
      <c r="B42" s="5">
        <v>68810.549972451758</v>
      </c>
      <c r="C42" s="5">
        <v>-155.54997245175764</v>
      </c>
      <c r="E42" s="5">
        <v>78.125</v>
      </c>
      <c r="F42" s="5">
        <v>68655</v>
      </c>
    </row>
    <row r="43" spans="1:6">
      <c r="A43" s="5">
        <v>14</v>
      </c>
      <c r="B43" s="5">
        <v>69649.671308677644</v>
      </c>
      <c r="C43" s="5">
        <v>-85.671308677643538</v>
      </c>
      <c r="E43" s="5">
        <v>84.375</v>
      </c>
      <c r="F43" s="5">
        <v>69331</v>
      </c>
    </row>
    <row r="44" spans="1:6">
      <c r="A44" s="5">
        <v>15</v>
      </c>
      <c r="B44" s="5">
        <v>68989.068484993186</v>
      </c>
      <c r="C44" s="5">
        <v>341.93151500681415</v>
      </c>
      <c r="E44" s="5">
        <v>90.625</v>
      </c>
      <c r="F44" s="5">
        <v>69564</v>
      </c>
    </row>
    <row r="45" spans="1:6">
      <c r="A45" s="5">
        <v>16</v>
      </c>
      <c r="B45" s="5">
        <v>70757.757823592052</v>
      </c>
      <c r="C45" s="5">
        <v>-206.75782359205186</v>
      </c>
      <c r="E45" s="5">
        <v>96.875</v>
      </c>
      <c r="F45" s="5">
        <v>70551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X57"/>
  <sheetViews>
    <sheetView workbookViewId="0">
      <selection activeCell="C25" sqref="C25"/>
    </sheetView>
  </sheetViews>
  <sheetFormatPr defaultRowHeight="12.75"/>
  <cols>
    <col min="2" max="2" width="17.85546875" bestFit="1" customWidth="1"/>
    <col min="3" max="3" width="19" customWidth="1"/>
    <col min="4" max="4" width="18.42578125" bestFit="1" customWidth="1"/>
    <col min="5" max="8" width="17.85546875" bestFit="1" customWidth="1"/>
    <col min="10" max="11" width="10.140625" bestFit="1" customWidth="1"/>
    <col min="12" max="12" width="12.140625" bestFit="1" customWidth="1"/>
    <col min="13" max="13" width="12.85546875" customWidth="1"/>
    <col min="16" max="16" width="21" customWidth="1"/>
    <col min="17" max="18" width="17" customWidth="1"/>
    <col min="19" max="19" width="14.7109375" customWidth="1"/>
    <col min="20" max="20" width="13" customWidth="1"/>
    <col min="21" max="21" width="16.140625" customWidth="1"/>
    <col min="22" max="22" width="15.140625" customWidth="1"/>
    <col min="23" max="24" width="14.5703125" customWidth="1"/>
  </cols>
  <sheetData>
    <row r="1" spans="1:24">
      <c r="A1" s="15" t="s">
        <v>56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62</v>
      </c>
      <c r="H1" s="15" t="s">
        <v>63</v>
      </c>
      <c r="J1" s="15" t="s">
        <v>63</v>
      </c>
      <c r="K1" s="15" t="s">
        <v>65</v>
      </c>
      <c r="L1" s="15" t="s">
        <v>67</v>
      </c>
      <c r="M1" s="15" t="s">
        <v>66</v>
      </c>
      <c r="N1" s="15"/>
      <c r="P1" t="s">
        <v>0</v>
      </c>
    </row>
    <row r="2" spans="1:24">
      <c r="A2" s="1">
        <v>-4994</v>
      </c>
      <c r="B2" s="1">
        <v>-18.681249999999999</v>
      </c>
      <c r="C2" s="1">
        <v>-153409.4375</v>
      </c>
      <c r="D2" s="1">
        <v>-837.3125</v>
      </c>
      <c r="E2" s="1">
        <v>-1016.6875</v>
      </c>
      <c r="F2" s="1">
        <v>-9816</v>
      </c>
      <c r="G2" s="1">
        <v>-7.5</v>
      </c>
      <c r="H2" s="1">
        <v>-7.4231476981625439</v>
      </c>
      <c r="J2" s="1">
        <f ca="1">K2-$K$19</f>
        <v>-7.3884643897825057</v>
      </c>
      <c r="K2" s="1">
        <f ca="1">G2-$B$22*L2</f>
        <v>-7.4104139705029484</v>
      </c>
      <c r="L2" s="16">
        <f ca="1">2*M2-1</f>
        <v>-0.89586029497051456</v>
      </c>
      <c r="M2">
        <f ca="1">RAND()</f>
        <v>5.206985251474272E-2</v>
      </c>
    </row>
    <row r="3" spans="1:24">
      <c r="A3" s="1">
        <v>-4195</v>
      </c>
      <c r="B3" s="1">
        <v>-13.18125</v>
      </c>
      <c r="C3" s="1">
        <v>-128272.4375</v>
      </c>
      <c r="D3" s="1">
        <v>-868.3125</v>
      </c>
      <c r="E3" s="1">
        <v>-1150.6875</v>
      </c>
      <c r="F3" s="1">
        <v>-8792</v>
      </c>
      <c r="G3" s="1">
        <v>-6.5</v>
      </c>
      <c r="H3" s="1">
        <v>-6.4158311750108146</v>
      </c>
      <c r="J3" s="1">
        <f t="shared" ref="J3:J17" ca="1" si="0">K3-$K$19</f>
        <v>-6.5491813000499004</v>
      </c>
      <c r="K3" s="1">
        <f t="shared" ref="K3:K17" ca="1" si="1">G3-$B$22*L3</f>
        <v>-6.571130880770343</v>
      </c>
      <c r="L3" s="16">
        <f t="shared" ref="L3:L17" ca="1" si="2">2*M3-1</f>
        <v>0.7113088077034293</v>
      </c>
      <c r="M3">
        <f t="shared" ref="M3:M17" ca="1" si="3">RAND()</f>
        <v>0.85565440385171465</v>
      </c>
      <c r="P3" s="5" t="s">
        <v>1</v>
      </c>
      <c r="Q3" s="5"/>
    </row>
    <row r="4" spans="1:24">
      <c r="A4" s="1">
        <v>-5146</v>
      </c>
      <c r="B4" s="1">
        <v>-13.481249999999999</v>
      </c>
      <c r="C4" s="1">
        <v>-129644.4375</v>
      </c>
      <c r="D4" s="1">
        <v>488.6875</v>
      </c>
      <c r="E4" s="1">
        <v>-990.6875</v>
      </c>
      <c r="F4" s="1">
        <v>-7651</v>
      </c>
      <c r="G4" s="1">
        <v>-5.5</v>
      </c>
      <c r="H4" s="1">
        <v>-5.5658172798370149</v>
      </c>
      <c r="J4" s="1">
        <f t="shared" ca="1" si="0"/>
        <v>-5.529646158066333</v>
      </c>
      <c r="K4" s="1">
        <f t="shared" ca="1" si="1"/>
        <v>-5.5515957387867756</v>
      </c>
      <c r="L4" s="16">
        <f t="shared" ca="1" si="2"/>
        <v>0.51595738786775946</v>
      </c>
      <c r="M4">
        <f t="shared" ca="1" si="3"/>
        <v>0.75797869393387973</v>
      </c>
      <c r="P4" s="5" t="s">
        <v>2</v>
      </c>
      <c r="Q4" s="5">
        <v>0.99777250664424255</v>
      </c>
    </row>
    <row r="5" spans="1:24">
      <c r="A5" s="1">
        <v>-4130</v>
      </c>
      <c r="B5" s="1">
        <v>-12.18125</v>
      </c>
      <c r="C5" s="1">
        <v>-103099.4375</v>
      </c>
      <c r="D5" s="1">
        <v>157.6875</v>
      </c>
      <c r="E5" s="1">
        <v>-956.6875</v>
      </c>
      <c r="F5" s="1">
        <v>-6495</v>
      </c>
      <c r="G5" s="1">
        <v>-4.5</v>
      </c>
      <c r="H5" s="1">
        <v>-4.5793527779509837</v>
      </c>
      <c r="J5" s="1">
        <f t="shared" ca="1" si="0"/>
        <v>-4.4203178650349129</v>
      </c>
      <c r="K5" s="1">
        <f t="shared" ca="1" si="1"/>
        <v>-4.4422674457553555</v>
      </c>
      <c r="L5" s="16">
        <f t="shared" ca="1" si="2"/>
        <v>-0.57732554244644696</v>
      </c>
      <c r="M5">
        <f t="shared" ca="1" si="3"/>
        <v>0.21133722877677652</v>
      </c>
      <c r="P5" s="5" t="s">
        <v>3</v>
      </c>
      <c r="Q5" s="5">
        <v>0.99554997501513498</v>
      </c>
    </row>
    <row r="6" spans="1:24">
      <c r="A6" s="1">
        <v>-2096</v>
      </c>
      <c r="B6" s="1">
        <v>-5.4812500000000002</v>
      </c>
      <c r="C6" s="1">
        <v>-58723.4375</v>
      </c>
      <c r="D6" s="1">
        <v>-1094.3125</v>
      </c>
      <c r="E6" s="1">
        <v>492.3125</v>
      </c>
      <c r="F6" s="1">
        <v>-5349</v>
      </c>
      <c r="G6" s="1">
        <v>-3.5</v>
      </c>
      <c r="H6" s="1">
        <v>-3.5114797552382662</v>
      </c>
      <c r="J6" s="1">
        <f t="shared" ca="1" si="0"/>
        <v>-3.487749619317571</v>
      </c>
      <c r="K6" s="1">
        <f t="shared" ca="1" si="1"/>
        <v>-3.5096992000380136</v>
      </c>
      <c r="L6" s="16">
        <f t="shared" ca="1" si="2"/>
        <v>9.6992000380137E-2</v>
      </c>
      <c r="M6">
        <f t="shared" ca="1" si="3"/>
        <v>0.5484960001900685</v>
      </c>
      <c r="P6" s="5" t="s">
        <v>4</v>
      </c>
      <c r="Q6" s="5">
        <v>0.99165620315337799</v>
      </c>
    </row>
    <row r="7" spans="1:24">
      <c r="A7" s="1">
        <v>-1678</v>
      </c>
      <c r="B7" s="1">
        <v>-3.5812500000000114</v>
      </c>
      <c r="C7" s="1">
        <v>-40699.4375</v>
      </c>
      <c r="D7" s="1">
        <v>-1261.3125</v>
      </c>
      <c r="E7" s="1">
        <v>987.3125</v>
      </c>
      <c r="F7" s="1">
        <v>-4154</v>
      </c>
      <c r="G7" s="1">
        <v>-2.5</v>
      </c>
      <c r="H7" s="1">
        <v>-2.5305236936304185</v>
      </c>
      <c r="J7" s="1">
        <f t="shared" ca="1" si="0"/>
        <v>-2.4963028979777189</v>
      </c>
      <c r="K7" s="1">
        <f t="shared" ca="1" si="1"/>
        <v>-2.5182524786981615</v>
      </c>
      <c r="L7" s="16">
        <f t="shared" ca="1" si="2"/>
        <v>0.18252478698161667</v>
      </c>
      <c r="M7">
        <f t="shared" ca="1" si="3"/>
        <v>0.59126239349080834</v>
      </c>
      <c r="P7" s="5" t="s">
        <v>5</v>
      </c>
      <c r="Q7" s="5">
        <v>320.79859299109813</v>
      </c>
    </row>
    <row r="8" spans="1:24">
      <c r="A8" s="1">
        <v>-328</v>
      </c>
      <c r="B8" s="1">
        <v>-2.6812500000000057</v>
      </c>
      <c r="C8" s="1">
        <v>-22313.4375</v>
      </c>
      <c r="D8" s="1">
        <v>-1323.3125</v>
      </c>
      <c r="E8" s="1">
        <v>940.3125</v>
      </c>
      <c r="F8" s="1">
        <v>-2330</v>
      </c>
      <c r="G8" s="1">
        <v>-1.5</v>
      </c>
      <c r="H8" s="1">
        <v>-1.5610426429621236</v>
      </c>
      <c r="J8" s="1">
        <f t="shared" ca="1" si="0"/>
        <v>-1.5554965722729024</v>
      </c>
      <c r="K8" s="1">
        <f t="shared" ca="1" si="1"/>
        <v>-1.5774461529933448</v>
      </c>
      <c r="L8" s="16">
        <f t="shared" ca="1" si="2"/>
        <v>0.77446152993344874</v>
      </c>
      <c r="M8">
        <f t="shared" ca="1" si="3"/>
        <v>0.88723076496672437</v>
      </c>
      <c r="P8" s="5" t="s">
        <v>6</v>
      </c>
      <c r="Q8" s="5">
        <v>16</v>
      </c>
    </row>
    <row r="9" spans="1:24">
      <c r="A9" s="1">
        <v>-1556</v>
      </c>
      <c r="B9" s="1">
        <v>-1.6812500000000057</v>
      </c>
      <c r="C9" s="1">
        <v>-24586.4375</v>
      </c>
      <c r="D9" s="1">
        <v>384.6875</v>
      </c>
      <c r="E9" s="1">
        <v>743.3125</v>
      </c>
      <c r="F9" s="1">
        <v>-1205</v>
      </c>
      <c r="G9" s="1">
        <v>-0.5</v>
      </c>
      <c r="H9" s="1">
        <v>-0.48764402963674114</v>
      </c>
      <c r="J9" s="1">
        <f t="shared" ca="1" si="0"/>
        <v>-0.46695724324543503</v>
      </c>
      <c r="K9" s="1">
        <f t="shared" ca="1" si="1"/>
        <v>-0.48890682396587748</v>
      </c>
      <c r="L9" s="16">
        <f t="shared" ca="1" si="2"/>
        <v>-0.11093176034122543</v>
      </c>
      <c r="M9">
        <f t="shared" ca="1" si="3"/>
        <v>0.44453411982938729</v>
      </c>
    </row>
    <row r="10" spans="1:24">
      <c r="A10" s="1">
        <v>702</v>
      </c>
      <c r="B10" s="1">
        <v>-0.48125000000000284</v>
      </c>
      <c r="C10" s="1">
        <v>9770.5625</v>
      </c>
      <c r="D10" s="1">
        <v>-289.3125</v>
      </c>
      <c r="E10" s="1">
        <v>441.3125</v>
      </c>
      <c r="F10" s="1">
        <v>-36</v>
      </c>
      <c r="G10" s="1">
        <v>0.5</v>
      </c>
      <c r="H10" s="1">
        <v>0.56013743894359358</v>
      </c>
      <c r="J10" s="1">
        <f t="shared" ca="1" si="0"/>
        <v>0.48838354623653102</v>
      </c>
      <c r="K10" s="1">
        <f t="shared" ca="1" si="1"/>
        <v>0.46643396551608857</v>
      </c>
      <c r="L10" s="16">
        <f t="shared" ca="1" si="2"/>
        <v>0.33566034483911444</v>
      </c>
      <c r="M10">
        <f t="shared" ca="1" si="3"/>
        <v>0.66783017241955722</v>
      </c>
      <c r="P10" t="s">
        <v>7</v>
      </c>
    </row>
    <row r="11" spans="1:24">
      <c r="A11" s="1">
        <v>2540</v>
      </c>
      <c r="B11" s="1">
        <v>2.9187499999999886</v>
      </c>
      <c r="C11" s="1">
        <v>31481.5625</v>
      </c>
      <c r="D11" s="1">
        <v>-371.3125</v>
      </c>
      <c r="E11" s="1">
        <v>250.3125</v>
      </c>
      <c r="F11" s="1">
        <v>1310</v>
      </c>
      <c r="G11" s="1">
        <v>1.5</v>
      </c>
      <c r="H11" s="1">
        <v>1.4219403664106443</v>
      </c>
      <c r="J11" s="1">
        <f t="shared" ca="1" si="0"/>
        <v>1.4287225351075605</v>
      </c>
      <c r="K11" s="1">
        <f t="shared" ca="1" si="1"/>
        <v>1.4067729543871181</v>
      </c>
      <c r="L11" s="16">
        <f t="shared" ca="1" si="2"/>
        <v>0.93227045612881909</v>
      </c>
      <c r="M11">
        <f t="shared" ca="1" si="3"/>
        <v>0.96613522806440955</v>
      </c>
      <c r="P11" s="5"/>
      <c r="Q11" s="5" t="s">
        <v>12</v>
      </c>
      <c r="R11" s="5" t="s">
        <v>13</v>
      </c>
      <c r="S11" s="5" t="s">
        <v>14</v>
      </c>
      <c r="T11" s="5" t="s">
        <v>15</v>
      </c>
      <c r="U11" s="5" t="s">
        <v>16</v>
      </c>
    </row>
    <row r="12" spans="1:24">
      <c r="A12" s="1">
        <v>2852</v>
      </c>
      <c r="B12" s="1">
        <v>6.71875</v>
      </c>
      <c r="C12" s="1">
        <v>55070.5625</v>
      </c>
      <c r="D12" s="1">
        <v>-257.3125</v>
      </c>
      <c r="E12" s="1">
        <v>191.3125</v>
      </c>
      <c r="F12" s="1">
        <v>3021</v>
      </c>
      <c r="G12" s="1">
        <v>2.5</v>
      </c>
      <c r="H12" s="1">
        <v>2.5884910203148612</v>
      </c>
      <c r="J12" s="1">
        <f t="shared" ca="1" si="0"/>
        <v>2.5379139151946988</v>
      </c>
      <c r="K12" s="1">
        <f t="shared" ca="1" si="1"/>
        <v>2.5159643344742562</v>
      </c>
      <c r="L12" s="16">
        <f t="shared" ca="1" si="2"/>
        <v>-0.15964334474256203</v>
      </c>
      <c r="M12">
        <f t="shared" ca="1" si="3"/>
        <v>0.42017832762871898</v>
      </c>
      <c r="P12" s="5" t="s">
        <v>8</v>
      </c>
      <c r="Q12" s="5">
        <v>7</v>
      </c>
      <c r="R12" s="5">
        <v>184185532.10187945</v>
      </c>
      <c r="S12" s="5">
        <v>26312218.871697064</v>
      </c>
      <c r="T12" s="5">
        <v>255.67753077498901</v>
      </c>
      <c r="U12" s="5">
        <v>9.1185010828259457E-9</v>
      </c>
    </row>
    <row r="13" spans="1:24">
      <c r="A13" s="1">
        <v>1196</v>
      </c>
      <c r="B13" s="1">
        <v>9.1187499999999915</v>
      </c>
      <c r="C13" s="1">
        <v>56847.5625</v>
      </c>
      <c r="D13" s="1">
        <v>1487.6875</v>
      </c>
      <c r="E13" s="1">
        <v>30.3125</v>
      </c>
      <c r="F13" s="1">
        <v>4526</v>
      </c>
      <c r="G13" s="1">
        <v>3.5</v>
      </c>
      <c r="H13" s="1">
        <v>3.4824630136266901</v>
      </c>
      <c r="J13" s="1">
        <f t="shared" ca="1" si="0"/>
        <v>3.4383732659083601</v>
      </c>
      <c r="K13" s="1">
        <f t="shared" ca="1" si="1"/>
        <v>3.4164236851879175</v>
      </c>
      <c r="L13" s="16">
        <f t="shared" ca="1" si="2"/>
        <v>0.83576314812082408</v>
      </c>
      <c r="M13">
        <f t="shared" ca="1" si="3"/>
        <v>0.91788157406041204</v>
      </c>
      <c r="P13" s="5" t="s">
        <v>9</v>
      </c>
      <c r="Q13" s="5">
        <v>8</v>
      </c>
      <c r="R13" s="5">
        <v>823293.89812054578</v>
      </c>
      <c r="S13" s="5">
        <v>102911.73726506822</v>
      </c>
      <c r="T13" s="5"/>
      <c r="U13" s="5"/>
    </row>
    <row r="14" spans="1:24">
      <c r="A14" s="1">
        <v>3338</v>
      </c>
      <c r="B14" s="1">
        <v>10.918749999999999</v>
      </c>
      <c r="C14" s="1">
        <v>95005.5625</v>
      </c>
      <c r="D14" s="1">
        <v>619.6875</v>
      </c>
      <c r="E14" s="1">
        <v>-54.6875</v>
      </c>
      <c r="F14" s="1">
        <v>5942</v>
      </c>
      <c r="G14" s="1">
        <v>4.5</v>
      </c>
      <c r="H14" s="1">
        <v>4.5814093291009854</v>
      </c>
      <c r="J14" s="1">
        <f t="shared" ca="1" si="0"/>
        <v>4.4945931946110074</v>
      </c>
      <c r="K14" s="1">
        <f t="shared" ca="1" si="1"/>
        <v>4.4726436138905648</v>
      </c>
      <c r="L14" s="16">
        <f t="shared" ca="1" si="2"/>
        <v>0.27356386109434938</v>
      </c>
      <c r="M14">
        <f t="shared" ca="1" si="3"/>
        <v>0.63678193054717469</v>
      </c>
      <c r="P14" s="5" t="s">
        <v>10</v>
      </c>
      <c r="Q14" s="5">
        <v>15</v>
      </c>
      <c r="R14" s="5">
        <v>185008826</v>
      </c>
      <c r="S14" s="5"/>
      <c r="T14" s="5"/>
      <c r="U14" s="5"/>
    </row>
    <row r="15" spans="1:24">
      <c r="A15" s="1">
        <v>4247</v>
      </c>
      <c r="B15" s="1">
        <v>12.518750000000001</v>
      </c>
      <c r="C15" s="1">
        <v>114902.5625</v>
      </c>
      <c r="D15" s="1">
        <v>737.6875</v>
      </c>
      <c r="E15" s="1">
        <v>-92.6875</v>
      </c>
      <c r="F15" s="1">
        <v>7944</v>
      </c>
      <c r="G15" s="1">
        <v>5.5</v>
      </c>
      <c r="H15" s="1">
        <v>5.5331736021558786</v>
      </c>
      <c r="J15" s="1">
        <f t="shared" ca="1" si="0"/>
        <v>5.4688356740281971</v>
      </c>
      <c r="K15" s="1">
        <f t="shared" ca="1" si="1"/>
        <v>5.4468860933077545</v>
      </c>
      <c r="L15" s="16">
        <f t="shared" ca="1" si="2"/>
        <v>0.53113906692245383</v>
      </c>
      <c r="M15">
        <f t="shared" ca="1" si="3"/>
        <v>0.76556953346122691</v>
      </c>
    </row>
    <row r="16" spans="1:24">
      <c r="A16" s="1">
        <v>4014</v>
      </c>
      <c r="B16" s="1">
        <v>14.018750000000001</v>
      </c>
      <c r="C16" s="1">
        <v>130474.5625</v>
      </c>
      <c r="D16" s="1">
        <v>1612.6875</v>
      </c>
      <c r="E16" s="1">
        <v>-34.6875</v>
      </c>
      <c r="F16" s="1">
        <v>10428</v>
      </c>
      <c r="G16" s="1">
        <v>6.5</v>
      </c>
      <c r="H16" s="1">
        <v>6.4100992742598759</v>
      </c>
      <c r="J16" s="1">
        <f t="shared" ca="1" si="0"/>
        <v>6.4927087373631309</v>
      </c>
      <c r="K16" s="1">
        <f t="shared" ca="1" si="1"/>
        <v>6.4707591566426883</v>
      </c>
      <c r="L16" s="16">
        <f t="shared" ca="1" si="2"/>
        <v>0.29240843357311297</v>
      </c>
      <c r="M16">
        <f t="shared" ca="1" si="3"/>
        <v>0.64620421678655648</v>
      </c>
      <c r="P16" s="5"/>
      <c r="Q16" s="5" t="s">
        <v>17</v>
      </c>
      <c r="R16" s="5" t="s">
        <v>5</v>
      </c>
      <c r="S16" s="5" t="s">
        <v>18</v>
      </c>
      <c r="T16" s="5" t="s">
        <v>19</v>
      </c>
      <c r="U16" s="5" t="s">
        <v>20</v>
      </c>
      <c r="V16" s="5" t="s">
        <v>21</v>
      </c>
      <c r="W16" s="5" t="s">
        <v>22</v>
      </c>
      <c r="X16" s="5" t="s">
        <v>23</v>
      </c>
    </row>
    <row r="17" spans="1:24">
      <c r="A17" s="1">
        <v>5234</v>
      </c>
      <c r="B17" s="1">
        <v>15.21875</v>
      </c>
      <c r="C17" s="1">
        <v>167195.5625</v>
      </c>
      <c r="D17" s="1">
        <v>813.6875</v>
      </c>
      <c r="E17" s="1">
        <v>220.3125</v>
      </c>
      <c r="F17" s="1">
        <v>12657</v>
      </c>
      <c r="G17" s="1">
        <v>7.5</v>
      </c>
      <c r="H17" s="1">
        <v>7.4971250076163791</v>
      </c>
      <c r="J17" s="1">
        <f t="shared" ca="1" si="0"/>
        <v>7.5445851772977983</v>
      </c>
      <c r="K17" s="1">
        <f t="shared" ca="1" si="1"/>
        <v>7.5226355965773557</v>
      </c>
      <c r="L17" s="16">
        <f t="shared" ca="1" si="2"/>
        <v>-0.22635596577355876</v>
      </c>
      <c r="M17">
        <f t="shared" ca="1" si="3"/>
        <v>0.38682201711322062</v>
      </c>
      <c r="P17" s="5" t="s">
        <v>11</v>
      </c>
      <c r="Q17" s="5">
        <v>1.552272667454073E-13</v>
      </c>
      <c r="R17" s="5">
        <v>80.199648247774533</v>
      </c>
      <c r="S17" s="5">
        <v>1.9355105681490906E-15</v>
      </c>
      <c r="T17" s="5">
        <v>1</v>
      </c>
      <c r="U17" s="5">
        <v>-184.94084009877699</v>
      </c>
      <c r="V17" s="5">
        <v>184.94084009877727</v>
      </c>
      <c r="W17" s="5">
        <v>-184.94084009877699</v>
      </c>
      <c r="X17" s="5">
        <v>184.94084009877727</v>
      </c>
    </row>
    <row r="18" spans="1:24">
      <c r="P18" s="5" t="s">
        <v>57</v>
      </c>
      <c r="Q18" s="5">
        <v>17.6927055069077</v>
      </c>
      <c r="R18" s="5">
        <v>89.659191821923784</v>
      </c>
      <c r="S18" s="5">
        <v>0.19733286846983844</v>
      </c>
      <c r="T18" s="5">
        <v>0.84848856471387735</v>
      </c>
      <c r="U18" s="5">
        <v>-189.06189529751811</v>
      </c>
      <c r="V18" s="5">
        <v>224.44730631133353</v>
      </c>
      <c r="W18" s="5">
        <v>-189.06189529751811</v>
      </c>
      <c r="X18" s="5">
        <v>224.44730631133353</v>
      </c>
    </row>
    <row r="19" spans="1:24">
      <c r="H19" s="1">
        <f>SUM(H2:H17)</f>
        <v>0</v>
      </c>
      <c r="J19" s="1">
        <f ca="1">SUM(J2:J17)</f>
        <v>0</v>
      </c>
      <c r="K19" s="1">
        <f ca="1">(SUM(K2:K17))/16</f>
        <v>-2.1949580720442452E-2</v>
      </c>
      <c r="P19" s="5" t="s">
        <v>58</v>
      </c>
      <c r="Q19" s="5">
        <v>-3.5358221517451827E-2</v>
      </c>
      <c r="R19" s="5">
        <v>3.5266278669292293E-2</v>
      </c>
      <c r="S19" s="5">
        <v>-1.0026071037724655</v>
      </c>
      <c r="T19" s="5">
        <v>0.34540826072092834</v>
      </c>
      <c r="U19" s="5">
        <v>-0.11668245855283664</v>
      </c>
      <c r="V19" s="5">
        <v>4.5966015517932987E-2</v>
      </c>
      <c r="W19" s="5">
        <v>-0.11668245855283664</v>
      </c>
      <c r="X19" s="5">
        <v>4.5966015517932987E-2</v>
      </c>
    </row>
    <row r="20" spans="1:24">
      <c r="P20" s="5" t="s">
        <v>59</v>
      </c>
      <c r="Q20" s="5">
        <v>-2.0390287790998749</v>
      </c>
      <c r="R20" s="5">
        <v>0.5166317447268377</v>
      </c>
      <c r="S20" s="5">
        <v>-3.9467740802067528</v>
      </c>
      <c r="T20" s="5">
        <v>4.2552358976383712E-3</v>
      </c>
      <c r="U20" s="5">
        <v>-3.2303844892432751</v>
      </c>
      <c r="V20" s="5">
        <v>-0.84767306895647465</v>
      </c>
      <c r="W20" s="5">
        <v>-3.2303844892432751</v>
      </c>
      <c r="X20" s="5">
        <v>-0.84767306895647465</v>
      </c>
    </row>
    <row r="21" spans="1:24">
      <c r="P21" s="5" t="s">
        <v>60</v>
      </c>
      <c r="Q21" s="5">
        <v>-1.0658100237828998</v>
      </c>
      <c r="R21" s="5">
        <v>0.24323417502458827</v>
      </c>
      <c r="S21" s="5">
        <v>-4.3818267876015291</v>
      </c>
      <c r="T21" s="5">
        <v>2.3430470186051292E-3</v>
      </c>
      <c r="U21" s="5">
        <v>-1.6267093999348221</v>
      </c>
      <c r="V21" s="5">
        <v>-0.50491064763097748</v>
      </c>
      <c r="W21" s="5">
        <v>-1.6267093999348221</v>
      </c>
      <c r="X21" s="5">
        <v>-0.50491064763097748</v>
      </c>
    </row>
    <row r="22" spans="1:24">
      <c r="A22" t="s">
        <v>64</v>
      </c>
      <c r="B22" s="1">
        <v>0.1</v>
      </c>
      <c r="P22" s="5" t="s">
        <v>61</v>
      </c>
      <c r="Q22" s="5">
        <v>-6.0888276183027217E-2</v>
      </c>
      <c r="R22" s="5">
        <v>0.23946908930605271</v>
      </c>
      <c r="S22" s="5">
        <v>-0.25426361439579848</v>
      </c>
      <c r="T22" s="5">
        <v>0.8057053562044133</v>
      </c>
      <c r="U22" s="5">
        <v>-0.61310534348393542</v>
      </c>
      <c r="V22" s="5">
        <v>0.49132879111788103</v>
      </c>
      <c r="W22" s="5">
        <v>-0.61310534348393542</v>
      </c>
      <c r="X22" s="5">
        <v>0.49132879111788103</v>
      </c>
    </row>
    <row r="23" spans="1:24">
      <c r="P23" s="5" t="s">
        <v>62</v>
      </c>
      <c r="Q23" s="5">
        <v>2354.192412674231</v>
      </c>
      <c r="R23" s="5">
        <v>1546.0802235021081</v>
      </c>
      <c r="S23" s="5">
        <v>1.5226845133182192</v>
      </c>
      <c r="T23" s="5">
        <v>0.16633711164267917</v>
      </c>
      <c r="U23" s="5">
        <v>-1211.0772816665963</v>
      </c>
      <c r="V23" s="5">
        <v>5919.4621070150588</v>
      </c>
      <c r="W23" s="5">
        <v>-1211.0772816665963</v>
      </c>
      <c r="X23" s="5">
        <v>5919.4621070150588</v>
      </c>
    </row>
    <row r="24" spans="1:24">
      <c r="P24" s="5" t="s">
        <v>63</v>
      </c>
      <c r="Q24" s="5">
        <v>-522.15440560327988</v>
      </c>
      <c r="R24" s="5">
        <v>1461.8285365921636</v>
      </c>
      <c r="S24" s="5">
        <v>-0.35719264779201398</v>
      </c>
      <c r="T24" s="5">
        <v>0.73018683238683635</v>
      </c>
      <c r="U24" s="5">
        <v>-3893.1392358917683</v>
      </c>
      <c r="V24" s="5">
        <v>2848.8304246852085</v>
      </c>
      <c r="W24" s="5">
        <v>-3893.1392358917683</v>
      </c>
      <c r="X24" s="5">
        <v>2848.8304246852085</v>
      </c>
    </row>
    <row r="25" spans="1:24">
      <c r="B25">
        <f t="array" ref="B25:H31">MMULT(TRANSPOSE(B2:H17),B2:H17)</f>
        <v>1746.8643749999999</v>
      </c>
      <c r="C25">
        <v>15954061.731250003</v>
      </c>
      <c r="D25">
        <v>93879.993750000009</v>
      </c>
      <c r="E25">
        <v>52353.806249999965</v>
      </c>
      <c r="F25">
        <v>1102545</v>
      </c>
      <c r="G25">
        <v>763.85</v>
      </c>
      <c r="H25">
        <v>763.65188784463203</v>
      </c>
    </row>
    <row r="26" spans="1:24">
      <c r="B26">
        <v>15954061.731250003</v>
      </c>
      <c r="C26">
        <v>148190304889.9375</v>
      </c>
      <c r="D26">
        <v>841865547.8125</v>
      </c>
      <c r="E26">
        <v>463206425.1875</v>
      </c>
      <c r="F26">
        <v>10278614169</v>
      </c>
      <c r="G26">
        <v>7064668.5</v>
      </c>
      <c r="H26">
        <v>7063112.951889785</v>
      </c>
    </row>
    <row r="27" spans="1:24">
      <c r="B27">
        <v>93879.993750000009</v>
      </c>
      <c r="C27">
        <v>841865547.8125</v>
      </c>
      <c r="D27">
        <v>13098351.4375</v>
      </c>
      <c r="E27">
        <v>-1730681.4375</v>
      </c>
      <c r="F27">
        <v>66941123</v>
      </c>
      <c r="G27">
        <v>44595.5</v>
      </c>
      <c r="H27">
        <v>44440.308353919361</v>
      </c>
    </row>
    <row r="28" spans="1:24">
      <c r="B28">
        <v>52353.806249999965</v>
      </c>
      <c r="C28">
        <v>463206425.1875</v>
      </c>
      <c r="D28">
        <v>-1730681.4375</v>
      </c>
      <c r="E28">
        <v>7264561.4375</v>
      </c>
      <c r="F28">
        <v>26461472</v>
      </c>
      <c r="G28">
        <v>20736.5</v>
      </c>
      <c r="H28">
        <v>20636.986647132566</v>
      </c>
      <c r="P28" s="5" t="s">
        <v>11</v>
      </c>
      <c r="Q28" s="5">
        <v>8.0265779470249355E-14</v>
      </c>
      <c r="R28" s="5">
        <v>76.213518390491146</v>
      </c>
      <c r="S28" s="5">
        <v>1.0531698465749325E-15</v>
      </c>
    </row>
    <row r="29" spans="1:24">
      <c r="B29">
        <v>1102545</v>
      </c>
      <c r="C29">
        <v>10278614169</v>
      </c>
      <c r="D29">
        <v>66941123</v>
      </c>
      <c r="E29">
        <v>26461472</v>
      </c>
      <c r="F29">
        <v>725810234</v>
      </c>
      <c r="G29">
        <v>493761</v>
      </c>
      <c r="H29">
        <v>493458.03853127593</v>
      </c>
      <c r="P29" s="5" t="s">
        <v>24</v>
      </c>
      <c r="Q29" s="5">
        <v>15.061872271367392</v>
      </c>
      <c r="R29" s="5">
        <v>84.914925774774105</v>
      </c>
      <c r="S29" s="5">
        <v>0.17737602822991411</v>
      </c>
    </row>
    <row r="30" spans="1:24">
      <c r="B30">
        <v>763.85</v>
      </c>
      <c r="C30">
        <v>7064668.5</v>
      </c>
      <c r="D30">
        <v>44595.5</v>
      </c>
      <c r="E30">
        <v>20736.5</v>
      </c>
      <c r="F30">
        <v>493761</v>
      </c>
      <c r="G30">
        <v>340</v>
      </c>
      <c r="H30">
        <v>339.81317427053608</v>
      </c>
      <c r="P30" s="5" t="s">
        <v>25</v>
      </c>
      <c r="Q30" s="5">
        <v>-3.5819179292596717E-2</v>
      </c>
      <c r="R30" s="5">
        <v>3.3491007772246215E-2</v>
      </c>
      <c r="S30" s="5">
        <v>-1.0695163172211213</v>
      </c>
    </row>
    <row r="31" spans="1:24">
      <c r="B31">
        <v>763.65188784463203</v>
      </c>
      <c r="C31">
        <v>7063112.951889785</v>
      </c>
      <c r="D31">
        <v>44440.308353919361</v>
      </c>
      <c r="E31">
        <v>20636.986647132566</v>
      </c>
      <c r="F31">
        <v>493458.03853127593</v>
      </c>
      <c r="G31">
        <v>339.81317427053608</v>
      </c>
      <c r="H31">
        <v>339.68857673842086</v>
      </c>
      <c r="P31" s="5" t="s">
        <v>26</v>
      </c>
      <c r="Q31" s="5">
        <v>-2.0202298038169184</v>
      </c>
      <c r="R31" s="5">
        <v>0.48839968165173753</v>
      </c>
      <c r="S31" s="5">
        <v>-4.1364273559405813</v>
      </c>
    </row>
    <row r="32" spans="1:24">
      <c r="P32" s="5" t="s">
        <v>27</v>
      </c>
      <c r="Q32" s="5">
        <v>-1.0332268671736156</v>
      </c>
      <c r="R32" s="5">
        <v>0.2142741631616796</v>
      </c>
      <c r="S32" s="5">
        <v>-4.8219853104454726</v>
      </c>
    </row>
    <row r="33" spans="2:19">
      <c r="P33" s="5" t="s">
        <v>28</v>
      </c>
      <c r="Q33" s="5">
        <v>-5.1104105653564158E-2</v>
      </c>
      <c r="R33" s="5">
        <v>0.22607320006938725</v>
      </c>
      <c r="S33" s="5">
        <v>-0.22605114466411361</v>
      </c>
    </row>
    <row r="34" spans="2:19">
      <c r="P34" s="5" t="s">
        <v>29</v>
      </c>
      <c r="Q34" s="5">
        <v>1829.1514646136734</v>
      </c>
      <c r="R34" s="5">
        <v>455.47849914223428</v>
      </c>
      <c r="S34" s="5">
        <v>4.0158898127098555</v>
      </c>
    </row>
    <row r="35" spans="2:19">
      <c r="B35">
        <f t="array" ref="B35:H41">MMULT(MINVERSE(B25:H31),B25:H31)</f>
        <v>1.0000000000026574</v>
      </c>
      <c r="C35">
        <v>2.4680048227310181E-8</v>
      </c>
      <c r="D35">
        <v>1.4733814168721437E-10</v>
      </c>
      <c r="E35">
        <v>7.6397554948925972E-11</v>
      </c>
      <c r="F35">
        <v>1.7244019545614719E-9</v>
      </c>
      <c r="G35">
        <v>1.2008172234345693E-12</v>
      </c>
      <c r="H35">
        <v>1.1652900866465643E-12</v>
      </c>
    </row>
    <row r="36" spans="2:19">
      <c r="B36">
        <v>-2.7235158572835871E-16</v>
      </c>
      <c r="C36">
        <v>0.99999999999755573</v>
      </c>
      <c r="D36">
        <v>-1.2656542480726785E-14</v>
      </c>
      <c r="E36">
        <v>-7.382983113757291E-15</v>
      </c>
      <c r="F36">
        <v>-1.5276668818842154E-13</v>
      </c>
      <c r="G36">
        <v>-1.1622647289044608E-16</v>
      </c>
      <c r="H36">
        <v>-1.1275702593849246E-16</v>
      </c>
    </row>
    <row r="37" spans="2:19">
      <c r="B37">
        <v>3.3306690738754696E-16</v>
      </c>
      <c r="C37">
        <v>2.7284841053187847E-12</v>
      </c>
      <c r="D37">
        <v>1.0000000000000426</v>
      </c>
      <c r="E37">
        <v>1.7763568394002505E-14</v>
      </c>
      <c r="F37">
        <v>1.7053025658242404E-13</v>
      </c>
      <c r="G37">
        <v>3.8857805861880479E-16</v>
      </c>
      <c r="H37">
        <v>3.8857805861880479E-16</v>
      </c>
    </row>
    <row r="38" spans="2:19">
      <c r="B38">
        <v>-6.6613381477509392E-16</v>
      </c>
      <c r="C38">
        <v>-3.637978807091713E-12</v>
      </c>
      <c r="D38">
        <v>-2.1316282072803006E-14</v>
      </c>
      <c r="E38">
        <v>0.99999999999999289</v>
      </c>
      <c r="F38">
        <v>-2.2737367544323206E-13</v>
      </c>
      <c r="G38">
        <v>-1.1102230246251565E-16</v>
      </c>
      <c r="H38">
        <v>-1.1102230246251565E-16</v>
      </c>
    </row>
    <row r="39" spans="2:19">
      <c r="B39">
        <v>2.2204460492503131E-16</v>
      </c>
      <c r="C39">
        <v>9.0949470177292824E-13</v>
      </c>
      <c r="D39">
        <v>0</v>
      </c>
      <c r="E39">
        <v>-1.7763568394002505E-15</v>
      </c>
      <c r="F39">
        <v>1.0000000000000853</v>
      </c>
      <c r="G39">
        <v>2.7755575615628914E-17</v>
      </c>
      <c r="H39">
        <v>5.5511151231257827E-17</v>
      </c>
    </row>
    <row r="40" spans="2:19">
      <c r="B40">
        <v>5.4569682106375694E-12</v>
      </c>
      <c r="C40">
        <v>5.9604644775390625E-8</v>
      </c>
      <c r="D40">
        <v>4.6566128730773926E-10</v>
      </c>
      <c r="E40">
        <v>1.1641532182693481E-10</v>
      </c>
      <c r="F40">
        <v>3.7252902984619141E-9</v>
      </c>
      <c r="G40">
        <v>1.0000000000027285</v>
      </c>
      <c r="H40">
        <v>2.7284841053187847E-12</v>
      </c>
    </row>
    <row r="41" spans="2:19">
      <c r="B41">
        <v>-7.2759576141834259E-12</v>
      </c>
      <c r="C41">
        <v>-2.9802322387695313E-8</v>
      </c>
      <c r="D41">
        <v>-4.6566128730773926E-10</v>
      </c>
      <c r="E41">
        <v>-1.1641532182693481E-10</v>
      </c>
      <c r="F41">
        <v>-5.5879354476928711E-9</v>
      </c>
      <c r="G41">
        <v>-3.637978807091713E-12</v>
      </c>
      <c r="H41">
        <v>0.99999999999727152</v>
      </c>
    </row>
    <row r="44" spans="2:19">
      <c r="B44">
        <f>MDETERM(B35:H41)</f>
        <v>1.000000000000334</v>
      </c>
      <c r="C44">
        <v>1</v>
      </c>
      <c r="D44" t="e">
        <f ca="1">[1]!LRE(B44,C44)</f>
        <v>#NAME?</v>
      </c>
    </row>
    <row r="50" spans="1:8">
      <c r="A50" s="5"/>
      <c r="B50" s="5" t="s">
        <v>68</v>
      </c>
      <c r="C50" s="5" t="s">
        <v>69</v>
      </c>
      <c r="D50" s="5" t="s">
        <v>70</v>
      </c>
      <c r="E50" s="5" t="s">
        <v>71</v>
      </c>
      <c r="F50" s="5" t="s">
        <v>72</v>
      </c>
      <c r="G50" s="5" t="s">
        <v>73</v>
      </c>
      <c r="H50" s="5" t="s">
        <v>74</v>
      </c>
    </row>
    <row r="51" spans="1:8">
      <c r="A51" s="5" t="s">
        <v>68</v>
      </c>
      <c r="B51" s="5">
        <v>1</v>
      </c>
      <c r="C51" s="5"/>
      <c r="D51" s="5"/>
      <c r="E51" s="5"/>
      <c r="F51" s="5"/>
      <c r="G51" s="5"/>
      <c r="H51" s="5"/>
    </row>
    <row r="52" spans="1:8">
      <c r="A52" s="5" t="s">
        <v>69</v>
      </c>
      <c r="B52" s="5">
        <v>0.9915891780247823</v>
      </c>
      <c r="C52" s="5">
        <v>1</v>
      </c>
      <c r="D52" s="5"/>
      <c r="E52" s="5"/>
      <c r="F52" s="5"/>
      <c r="G52" s="5"/>
      <c r="H52" s="5"/>
    </row>
    <row r="53" spans="1:8">
      <c r="A53" s="5" t="s">
        <v>70</v>
      </c>
      <c r="B53" s="5">
        <v>0.62063339255909644</v>
      </c>
      <c r="C53" s="5">
        <v>0.60426093988955787</v>
      </c>
      <c r="D53" s="5">
        <v>1</v>
      </c>
      <c r="E53" s="5"/>
      <c r="F53" s="5"/>
      <c r="G53" s="5"/>
      <c r="H53" s="5"/>
    </row>
    <row r="54" spans="1:8">
      <c r="A54" s="5" t="s">
        <v>71</v>
      </c>
      <c r="B54" s="5">
        <v>0.46474418760067454</v>
      </c>
      <c r="C54" s="5">
        <v>0.44643679189262642</v>
      </c>
      <c r="D54" s="5">
        <v>-0.17742062950187831</v>
      </c>
      <c r="E54" s="5">
        <v>1</v>
      </c>
      <c r="F54" s="5"/>
      <c r="G54" s="5"/>
      <c r="H54" s="5"/>
    </row>
    <row r="55" spans="1:8">
      <c r="A55" s="5" t="s">
        <v>72</v>
      </c>
      <c r="B55" s="5">
        <v>0.97916343297749808</v>
      </c>
      <c r="C55" s="5">
        <v>0.99109006945847766</v>
      </c>
      <c r="D55" s="5">
        <v>0.68655151636531198</v>
      </c>
      <c r="E55" s="5">
        <v>0.36441626718903197</v>
      </c>
      <c r="F55" s="5">
        <v>1</v>
      </c>
      <c r="G55" s="5"/>
      <c r="H55" s="5"/>
    </row>
    <row r="56" spans="1:8">
      <c r="A56" s="5" t="s">
        <v>73</v>
      </c>
      <c r="B56" s="5">
        <v>0.99114919006720503</v>
      </c>
      <c r="C56" s="5">
        <v>0.99527348376478475</v>
      </c>
      <c r="D56" s="5">
        <v>0.66825660456217462</v>
      </c>
      <c r="E56" s="5">
        <v>0.41724514983494537</v>
      </c>
      <c r="F56" s="5">
        <v>0.99395284623292546</v>
      </c>
      <c r="G56" s="5">
        <v>1</v>
      </c>
      <c r="H56" s="5"/>
    </row>
    <row r="57" spans="1:8">
      <c r="A57" s="5" t="s">
        <v>74</v>
      </c>
      <c r="B57" s="5">
        <v>0.9913462417754022</v>
      </c>
      <c r="C57" s="5">
        <v>0.99551036117799629</v>
      </c>
      <c r="D57" s="5">
        <v>0.66623627169008171</v>
      </c>
      <c r="E57" s="5">
        <v>0.41543311443537528</v>
      </c>
      <c r="F57" s="5">
        <v>0.99379821685087966</v>
      </c>
      <c r="G57" s="5">
        <v>0.99990855097285958</v>
      </c>
      <c r="H57" s="5">
        <v>1</v>
      </c>
    </row>
  </sheetData>
  <phoneticPr fontId="0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X99"/>
  <sheetViews>
    <sheetView workbookViewId="0">
      <selection activeCell="B44" sqref="B44"/>
    </sheetView>
  </sheetViews>
  <sheetFormatPr defaultRowHeight="12.75"/>
  <cols>
    <col min="1" max="1" width="12.42578125" customWidth="1"/>
    <col min="2" max="2" width="18.85546875" bestFit="1" customWidth="1"/>
    <col min="3" max="3" width="19" customWidth="1"/>
    <col min="4" max="4" width="18.42578125" bestFit="1" customWidth="1"/>
    <col min="5" max="8" width="17.85546875" bestFit="1" customWidth="1"/>
    <col min="10" max="11" width="10.140625" bestFit="1" customWidth="1"/>
    <col min="12" max="12" width="12.140625" bestFit="1" customWidth="1"/>
    <col min="13" max="13" width="12.85546875" customWidth="1"/>
    <col min="16" max="16" width="21" customWidth="1"/>
    <col min="17" max="18" width="17" customWidth="1"/>
    <col min="19" max="19" width="14.7109375" customWidth="1"/>
    <col min="20" max="20" width="13" customWidth="1"/>
    <col min="21" max="21" width="16.140625" customWidth="1"/>
    <col min="22" max="22" width="15.140625" customWidth="1"/>
    <col min="23" max="24" width="14.5703125" customWidth="1"/>
  </cols>
  <sheetData>
    <row r="1" spans="1:24">
      <c r="A1" t="s">
        <v>82</v>
      </c>
      <c r="B1" t="s">
        <v>81</v>
      </c>
      <c r="C1" t="s">
        <v>80</v>
      </c>
      <c r="D1" t="s">
        <v>79</v>
      </c>
      <c r="E1" t="s">
        <v>78</v>
      </c>
      <c r="F1" t="s">
        <v>77</v>
      </c>
      <c r="G1" t="s">
        <v>76</v>
      </c>
      <c r="H1" s="15" t="s">
        <v>63</v>
      </c>
      <c r="J1" s="15" t="s">
        <v>63</v>
      </c>
      <c r="K1" s="15" t="s">
        <v>65</v>
      </c>
      <c r="L1" s="15" t="s">
        <v>67</v>
      </c>
      <c r="M1" s="15" t="s">
        <v>66</v>
      </c>
      <c r="N1" s="15"/>
      <c r="P1" t="s">
        <v>0</v>
      </c>
    </row>
    <row r="2" spans="1:24">
      <c r="A2" s="3">
        <v>100060323</v>
      </c>
      <c r="B2" s="3">
        <v>100000083</v>
      </c>
      <c r="C2" s="4">
        <v>100234289</v>
      </c>
      <c r="D2" s="4">
        <v>100002356</v>
      </c>
      <c r="E2" s="4">
        <v>100001590</v>
      </c>
      <c r="F2" s="4">
        <v>100107608</v>
      </c>
      <c r="G2" s="4">
        <v>100001947</v>
      </c>
      <c r="H2" s="1">
        <v>-153409.74810241128</v>
      </c>
      <c r="J2" s="1">
        <f ca="1">K2-$K$19</f>
        <v>-153409.07153664529</v>
      </c>
      <c r="K2" s="1">
        <f ca="1">C2-$B$22*L2</f>
        <v>100234289.36587863</v>
      </c>
      <c r="L2" s="16">
        <f ca="1">2*M2-1</f>
        <v>-0.36587863120844943</v>
      </c>
      <c r="M2">
        <f ca="1">RAND()</f>
        <v>0.31706068439577528</v>
      </c>
    </row>
    <row r="3" spans="1:24">
      <c r="A3" s="3">
        <v>100061122</v>
      </c>
      <c r="B3" s="3">
        <v>100000088.5</v>
      </c>
      <c r="C3" s="4">
        <v>100259426</v>
      </c>
      <c r="D3" s="4">
        <v>100002325</v>
      </c>
      <c r="E3" s="4">
        <v>100001456</v>
      </c>
      <c r="F3" s="4">
        <v>100108632</v>
      </c>
      <c r="G3" s="4">
        <v>100001948</v>
      </c>
      <c r="H3" s="1">
        <v>-128272.13488566905</v>
      </c>
      <c r="J3" s="1">
        <f t="shared" ref="J3:J17" ca="1" si="0">K3-$K$19</f>
        <v>-128272.08584071696</v>
      </c>
      <c r="K3" s="1">
        <f t="shared" ref="K3:K17" ca="1" si="1">C3-$B$22*L3</f>
        <v>100259426.35157456</v>
      </c>
      <c r="L3" s="16">
        <f t="shared" ref="L3:L17" ca="1" si="2">2*M3-1</f>
        <v>-0.35157455643881796</v>
      </c>
      <c r="M3">
        <f t="shared" ref="M3:M17" ca="1" si="3">RAND()</f>
        <v>0.32421272178059102</v>
      </c>
      <c r="P3" s="5" t="s">
        <v>1</v>
      </c>
      <c r="Q3" s="5"/>
    </row>
    <row r="4" spans="1:24">
      <c r="A4" s="3">
        <v>100060171</v>
      </c>
      <c r="B4" s="3">
        <v>100000088.2</v>
      </c>
      <c r="C4" s="4">
        <v>100258054</v>
      </c>
      <c r="D4" s="4">
        <v>100003682</v>
      </c>
      <c r="E4" s="4">
        <v>100001616</v>
      </c>
      <c r="F4" s="4">
        <v>100109773</v>
      </c>
      <c r="G4" s="4">
        <v>100001949</v>
      </c>
      <c r="H4" s="1">
        <v>-129645.31074877095</v>
      </c>
      <c r="J4" s="1">
        <f t="shared" ca="1" si="0"/>
        <v>-129644.25030836463</v>
      </c>
      <c r="K4" s="1">
        <f t="shared" ca="1" si="1"/>
        <v>100258054.18710691</v>
      </c>
      <c r="L4" s="16">
        <f t="shared" ca="1" si="2"/>
        <v>-0.18710690620798553</v>
      </c>
      <c r="M4">
        <f t="shared" ca="1" si="3"/>
        <v>0.40644654689600723</v>
      </c>
      <c r="P4" s="5" t="s">
        <v>2</v>
      </c>
      <c r="Q4" s="5">
        <v>0.9978687947739131</v>
      </c>
    </row>
    <row r="5" spans="1:24">
      <c r="A5" s="3">
        <v>100061187</v>
      </c>
      <c r="B5" s="3">
        <v>100000089.5</v>
      </c>
      <c r="C5" s="4">
        <v>100284599</v>
      </c>
      <c r="D5" s="4">
        <v>100003351</v>
      </c>
      <c r="E5" s="4">
        <v>100001650</v>
      </c>
      <c r="F5" s="4">
        <v>100110929</v>
      </c>
      <c r="G5" s="4">
        <v>100001950</v>
      </c>
      <c r="H5" s="1">
        <v>-103098.46227260995</v>
      </c>
      <c r="J5" s="1">
        <f t="shared" ca="1" si="0"/>
        <v>-103100.07385975122</v>
      </c>
      <c r="K5" s="1">
        <f t="shared" ca="1" si="1"/>
        <v>100284598.36355552</v>
      </c>
      <c r="L5" s="16">
        <f t="shared" ca="1" si="2"/>
        <v>0.63644448145264398</v>
      </c>
      <c r="M5">
        <f t="shared" ca="1" si="3"/>
        <v>0.81822224072632199</v>
      </c>
      <c r="P5" s="5" t="s">
        <v>3</v>
      </c>
      <c r="Q5" s="5">
        <v>0.99574213158354186</v>
      </c>
    </row>
    <row r="6" spans="1:24">
      <c r="A6" s="3">
        <v>100063221</v>
      </c>
      <c r="B6" s="3">
        <v>100000096.2</v>
      </c>
      <c r="C6" s="4">
        <v>100328975</v>
      </c>
      <c r="D6" s="4">
        <v>100002099</v>
      </c>
      <c r="E6" s="4">
        <v>100003099</v>
      </c>
      <c r="F6" s="4">
        <v>100112075</v>
      </c>
      <c r="G6" s="4">
        <v>100001951</v>
      </c>
      <c r="H6" s="1">
        <v>-58722.577895379203</v>
      </c>
      <c r="J6" s="1">
        <f t="shared" ca="1" si="0"/>
        <v>-58724.368546694517</v>
      </c>
      <c r="K6" s="1">
        <f t="shared" ca="1" si="1"/>
        <v>100328974.06886858</v>
      </c>
      <c r="L6" s="16">
        <f t="shared" ca="1" si="2"/>
        <v>0.93113142975993002</v>
      </c>
      <c r="M6">
        <f t="shared" ca="1" si="3"/>
        <v>0.96556571487996501</v>
      </c>
      <c r="P6" s="5" t="s">
        <v>4</v>
      </c>
      <c r="Q6" s="5">
        <v>0.99201649671914094</v>
      </c>
    </row>
    <row r="7" spans="1:24">
      <c r="A7" s="3">
        <v>100063639</v>
      </c>
      <c r="B7" s="3">
        <v>100000098.09999999</v>
      </c>
      <c r="C7" s="4">
        <v>100346999</v>
      </c>
      <c r="D7" s="4">
        <v>100001932</v>
      </c>
      <c r="E7" s="4">
        <v>100003594</v>
      </c>
      <c r="F7" s="4">
        <v>100113270</v>
      </c>
      <c r="G7" s="4">
        <v>100001952</v>
      </c>
      <c r="H7" s="1">
        <v>-40700.109112156599</v>
      </c>
      <c r="J7" s="1">
        <f t="shared" ca="1" si="0"/>
        <v>-40699.829706326127</v>
      </c>
      <c r="K7" s="1">
        <f t="shared" ca="1" si="1"/>
        <v>100346998.60770895</v>
      </c>
      <c r="L7" s="16">
        <f t="shared" ca="1" si="2"/>
        <v>0.39229104862222686</v>
      </c>
      <c r="M7">
        <f t="shared" ca="1" si="3"/>
        <v>0.69614552431111343</v>
      </c>
      <c r="P7" s="5" t="s">
        <v>5</v>
      </c>
      <c r="Q7" s="5">
        <v>313.79596017782717</v>
      </c>
    </row>
    <row r="8" spans="1:24">
      <c r="A8" s="3">
        <v>100064989</v>
      </c>
      <c r="B8" s="3">
        <v>100000099</v>
      </c>
      <c r="C8" s="4">
        <v>100365385</v>
      </c>
      <c r="D8" s="4">
        <v>100001870</v>
      </c>
      <c r="E8" s="4">
        <v>100003547</v>
      </c>
      <c r="F8" s="4">
        <v>100115094</v>
      </c>
      <c r="G8" s="4">
        <v>100001953</v>
      </c>
      <c r="H8" s="1">
        <v>-22314.189082942386</v>
      </c>
      <c r="J8" s="1">
        <f t="shared" ca="1" si="0"/>
        <v>-22312.659822434187</v>
      </c>
      <c r="K8" s="1">
        <f t="shared" ca="1" si="1"/>
        <v>100365385.77759284</v>
      </c>
      <c r="L8" s="16">
        <f t="shared" ca="1" si="2"/>
        <v>-0.77759284259888783</v>
      </c>
      <c r="M8">
        <f t="shared" ca="1" si="3"/>
        <v>0.11120357870055608</v>
      </c>
      <c r="P8" s="5" t="s">
        <v>6</v>
      </c>
      <c r="Q8" s="5">
        <v>16</v>
      </c>
    </row>
    <row r="9" spans="1:24">
      <c r="A9" s="3">
        <v>100063761</v>
      </c>
      <c r="B9" s="3">
        <v>100000100</v>
      </c>
      <c r="C9" s="4">
        <v>100363112</v>
      </c>
      <c r="D9" s="4">
        <v>100003578</v>
      </c>
      <c r="E9" s="4">
        <v>100003350</v>
      </c>
      <c r="F9" s="4">
        <v>100116219</v>
      </c>
      <c r="G9" s="4">
        <v>100001954</v>
      </c>
      <c r="H9" s="1">
        <v>-24586.582170165355</v>
      </c>
      <c r="J9" s="1">
        <f t="shared" ca="1" si="0"/>
        <v>-24586.472182959318</v>
      </c>
      <c r="K9" s="1">
        <f t="shared" ca="1" si="1"/>
        <v>100363111.96523231</v>
      </c>
      <c r="L9" s="16">
        <f t="shared" ca="1" si="2"/>
        <v>3.4767689609558339E-2</v>
      </c>
      <c r="M9">
        <f t="shared" ca="1" si="3"/>
        <v>0.51738384480477917</v>
      </c>
    </row>
    <row r="10" spans="1:24">
      <c r="A10" s="3">
        <v>100066019</v>
      </c>
      <c r="B10" s="3">
        <v>100000101.2</v>
      </c>
      <c r="C10" s="4">
        <v>100397469</v>
      </c>
      <c r="D10" s="4">
        <v>100002904</v>
      </c>
      <c r="E10" s="4">
        <v>100003048</v>
      </c>
      <c r="F10" s="4">
        <v>100117388</v>
      </c>
      <c r="G10" s="4">
        <v>100001955</v>
      </c>
      <c r="H10" s="1">
        <v>9770.9082130265142</v>
      </c>
      <c r="J10" s="1">
        <f t="shared" ca="1" si="0"/>
        <v>9770.3213246911764</v>
      </c>
      <c r="K10" s="1">
        <f t="shared" ca="1" si="1"/>
        <v>100397468.75873996</v>
      </c>
      <c r="L10" s="16">
        <f t="shared" ca="1" si="2"/>
        <v>0.241260037219579</v>
      </c>
      <c r="M10">
        <f t="shared" ca="1" si="3"/>
        <v>0.6206300186097895</v>
      </c>
      <c r="P10" t="s">
        <v>7</v>
      </c>
    </row>
    <row r="11" spans="1:24">
      <c r="A11" s="3">
        <v>100067857</v>
      </c>
      <c r="B11" s="3">
        <v>100000104.59999999</v>
      </c>
      <c r="C11" s="4">
        <v>100419180</v>
      </c>
      <c r="D11" s="4">
        <v>100002822</v>
      </c>
      <c r="E11" s="4">
        <v>100002857</v>
      </c>
      <c r="F11" s="4">
        <v>100118734</v>
      </c>
      <c r="G11" s="4">
        <v>100001956</v>
      </c>
      <c r="H11" s="1">
        <v>31481.961540390053</v>
      </c>
      <c r="J11" s="1">
        <f t="shared" ca="1" si="0"/>
        <v>31482.039279401302</v>
      </c>
      <c r="K11" s="1">
        <f t="shared" ca="1" si="1"/>
        <v>100419180.47669467</v>
      </c>
      <c r="L11" s="16">
        <f t="shared" ca="1" si="2"/>
        <v>-0.47669466836864949</v>
      </c>
      <c r="M11">
        <f t="shared" ca="1" si="3"/>
        <v>0.26165266581567526</v>
      </c>
      <c r="P11" s="5"/>
      <c r="Q11" s="5" t="s">
        <v>12</v>
      </c>
      <c r="R11" s="5" t="s">
        <v>13</v>
      </c>
      <c r="S11" s="5" t="s">
        <v>14</v>
      </c>
      <c r="T11" s="5" t="s">
        <v>15</v>
      </c>
      <c r="U11" s="5" t="s">
        <v>16</v>
      </c>
    </row>
    <row r="12" spans="1:24">
      <c r="A12" s="3">
        <v>100068169</v>
      </c>
      <c r="B12" s="3">
        <v>100000108.40000001</v>
      </c>
      <c r="C12" s="4">
        <v>100442769</v>
      </c>
      <c r="D12" s="4">
        <v>100002936</v>
      </c>
      <c r="E12" s="4">
        <v>100002798</v>
      </c>
      <c r="F12" s="4">
        <v>100120445</v>
      </c>
      <c r="G12" s="4">
        <v>100001957</v>
      </c>
      <c r="H12" s="1">
        <v>55070.689577742014</v>
      </c>
      <c r="J12" s="1">
        <f t="shared" ca="1" si="0"/>
        <v>55070.33659657836</v>
      </c>
      <c r="K12" s="1">
        <f t="shared" ca="1" si="1"/>
        <v>100442768.77401185</v>
      </c>
      <c r="L12" s="16">
        <f t="shared" ca="1" si="2"/>
        <v>0.22598815136336192</v>
      </c>
      <c r="M12">
        <f t="shared" ca="1" si="3"/>
        <v>0.61299407568168096</v>
      </c>
      <c r="P12" s="5" t="s">
        <v>8</v>
      </c>
      <c r="Q12" s="5">
        <v>7</v>
      </c>
      <c r="R12" s="5">
        <v>184221082.76300859</v>
      </c>
      <c r="S12" s="5">
        <v>26317297.537572656</v>
      </c>
      <c r="T12" s="5">
        <v>267.26777256087172</v>
      </c>
      <c r="U12" s="5">
        <v>7.6455732320375644E-9</v>
      </c>
    </row>
    <row r="13" spans="1:24">
      <c r="A13" s="3">
        <v>100066513</v>
      </c>
      <c r="B13" s="3">
        <v>100000110.8</v>
      </c>
      <c r="C13" s="4">
        <v>100444546</v>
      </c>
      <c r="D13" s="4">
        <v>100004681</v>
      </c>
      <c r="E13" s="4">
        <v>100002637</v>
      </c>
      <c r="F13" s="4">
        <v>100121950</v>
      </c>
      <c r="G13" s="4">
        <v>100001958</v>
      </c>
      <c r="H13" s="1">
        <v>56846.744411309148</v>
      </c>
      <c r="J13" s="1">
        <f t="shared" ca="1" si="0"/>
        <v>56848.222944706678</v>
      </c>
      <c r="K13" s="1">
        <f t="shared" ca="1" si="1"/>
        <v>100444546.66035998</v>
      </c>
      <c r="L13" s="16">
        <f t="shared" ca="1" si="2"/>
        <v>-0.66035998327641465</v>
      </c>
      <c r="M13">
        <f t="shared" ca="1" si="3"/>
        <v>0.16982000836179267</v>
      </c>
      <c r="P13" s="5" t="s">
        <v>9</v>
      </c>
      <c r="Q13" s="5">
        <v>8</v>
      </c>
      <c r="R13" s="5">
        <v>787743.23699139582</v>
      </c>
      <c r="S13" s="5">
        <v>98467.904623924478</v>
      </c>
      <c r="T13" s="5"/>
      <c r="U13" s="5"/>
    </row>
    <row r="14" spans="1:24">
      <c r="A14" s="3">
        <v>100068655</v>
      </c>
      <c r="B14" s="3">
        <v>100000112.59999999</v>
      </c>
      <c r="C14" s="4">
        <v>100482704</v>
      </c>
      <c r="D14" s="4">
        <v>100003813</v>
      </c>
      <c r="E14" s="4">
        <v>100002552</v>
      </c>
      <c r="F14" s="4">
        <v>100123366</v>
      </c>
      <c r="G14" s="4">
        <v>100001959</v>
      </c>
      <c r="H14" s="1">
        <v>95006.26487416352</v>
      </c>
      <c r="J14" s="1">
        <f t="shared" ca="1" si="0"/>
        <v>95006.188737154007</v>
      </c>
      <c r="K14" s="1">
        <f t="shared" ca="1" si="1"/>
        <v>100482704.62615243</v>
      </c>
      <c r="L14" s="16">
        <f t="shared" ca="1" si="2"/>
        <v>-0.6261524289578233</v>
      </c>
      <c r="M14">
        <f t="shared" ca="1" si="3"/>
        <v>0.18692378552108835</v>
      </c>
      <c r="P14" s="5" t="s">
        <v>10</v>
      </c>
      <c r="Q14" s="5">
        <v>15</v>
      </c>
      <c r="R14" s="5">
        <v>185008826</v>
      </c>
      <c r="S14" s="5"/>
      <c r="T14" s="5"/>
      <c r="U14" s="5"/>
    </row>
    <row r="15" spans="1:24">
      <c r="A15" s="3">
        <v>100069564</v>
      </c>
      <c r="B15" s="3">
        <v>100000114.2</v>
      </c>
      <c r="C15" s="4">
        <v>100502601</v>
      </c>
      <c r="D15" s="4">
        <v>100003931</v>
      </c>
      <c r="E15" s="4">
        <v>100002514</v>
      </c>
      <c r="F15" s="4">
        <v>100125368</v>
      </c>
      <c r="G15" s="4">
        <v>100001960</v>
      </c>
      <c r="H15" s="1">
        <v>114901.7305669239</v>
      </c>
      <c r="J15" s="1">
        <f t="shared" ca="1" si="0"/>
        <v>114902.71561425924</v>
      </c>
      <c r="K15" s="1">
        <f t="shared" ca="1" si="1"/>
        <v>100502601.15302953</v>
      </c>
      <c r="L15" s="16">
        <f t="shared" ca="1" si="2"/>
        <v>-0.15302953604583713</v>
      </c>
      <c r="M15">
        <f t="shared" ca="1" si="3"/>
        <v>0.42348523197708143</v>
      </c>
    </row>
    <row r="16" spans="1:24">
      <c r="A16" s="3">
        <v>100069331</v>
      </c>
      <c r="B16" s="3">
        <v>100000115.7</v>
      </c>
      <c r="C16" s="4">
        <v>100518173</v>
      </c>
      <c r="D16" s="4">
        <v>100004806</v>
      </c>
      <c r="E16" s="4">
        <v>100002572</v>
      </c>
      <c r="F16" s="4">
        <v>100127852</v>
      </c>
      <c r="G16" s="4">
        <v>100001961</v>
      </c>
      <c r="H16" s="1">
        <v>130475.29916653223</v>
      </c>
      <c r="J16" s="1">
        <f t="shared" ca="1" si="0"/>
        <v>130473.63082037866</v>
      </c>
      <c r="K16" s="1">
        <f t="shared" ca="1" si="1"/>
        <v>100518172.06823565</v>
      </c>
      <c r="L16" s="16">
        <f t="shared" ca="1" si="2"/>
        <v>0.93176435398888779</v>
      </c>
      <c r="M16">
        <f t="shared" ca="1" si="3"/>
        <v>0.9658821769944439</v>
      </c>
      <c r="P16" s="5"/>
      <c r="Q16" s="5" t="s">
        <v>17</v>
      </c>
      <c r="R16" s="5" t="s">
        <v>5</v>
      </c>
      <c r="S16" s="5" t="s">
        <v>18</v>
      </c>
      <c r="T16" s="5" t="s">
        <v>19</v>
      </c>
      <c r="U16" s="5" t="s">
        <v>20</v>
      </c>
      <c r="V16" s="5" t="s">
        <v>21</v>
      </c>
      <c r="W16" s="5" t="s">
        <v>22</v>
      </c>
      <c r="X16" s="5" t="s">
        <v>23</v>
      </c>
    </row>
    <row r="17" spans="1:24">
      <c r="A17" s="3">
        <v>100070551</v>
      </c>
      <c r="B17" s="3">
        <v>100000116.90000001</v>
      </c>
      <c r="C17" s="4">
        <v>100554894</v>
      </c>
      <c r="D17" s="4">
        <v>100004007</v>
      </c>
      <c r="E17" s="4">
        <v>100002827</v>
      </c>
      <c r="F17" s="4">
        <v>100130081</v>
      </c>
      <c r="G17" s="4">
        <v>100001962</v>
      </c>
      <c r="H17" s="1">
        <v>167195.51592001735</v>
      </c>
      <c r="J17" s="1">
        <f t="shared" ca="1" si="0"/>
        <v>167195.35648700595</v>
      </c>
      <c r="K17" s="1">
        <f t="shared" ca="1" si="1"/>
        <v>100554893.79390228</v>
      </c>
      <c r="L17" s="16">
        <f t="shared" ca="1" si="2"/>
        <v>0.20609772879058408</v>
      </c>
      <c r="M17">
        <f t="shared" ca="1" si="3"/>
        <v>0.60304886439529204</v>
      </c>
      <c r="P17" s="5" t="s">
        <v>11</v>
      </c>
      <c r="Q17" s="5">
        <v>5.9443044417350833E-10</v>
      </c>
      <c r="R17" s="5">
        <v>78.448990044456792</v>
      </c>
      <c r="S17" s="5">
        <v>7.5772861299635143E-12</v>
      </c>
      <c r="T17" s="5">
        <v>1</v>
      </c>
      <c r="U17" s="5">
        <v>-180.90381243133899</v>
      </c>
      <c r="V17" s="5">
        <v>180.90381243252787</v>
      </c>
      <c r="W17" s="5">
        <v>-180.90381243133899</v>
      </c>
      <c r="X17" s="5">
        <v>180.90381243252787</v>
      </c>
    </row>
    <row r="18" spans="1:24">
      <c r="P18" s="5" t="s">
        <v>57</v>
      </c>
      <c r="Q18" s="5">
        <v>46.895303270733415</v>
      </c>
      <c r="R18" s="5">
        <v>98.435320916357782</v>
      </c>
      <c r="S18" s="5">
        <v>0.47640727773500302</v>
      </c>
      <c r="T18" s="5">
        <v>0.64652426183007727</v>
      </c>
      <c r="U18" s="5">
        <v>-180.09710060391947</v>
      </c>
      <c r="V18" s="5">
        <v>273.88770714538629</v>
      </c>
      <c r="W18" s="5">
        <v>-180.09710060391947</v>
      </c>
      <c r="X18" s="5">
        <v>273.88770714538629</v>
      </c>
    </row>
    <row r="19" spans="1:24">
      <c r="H19" s="1">
        <f>SUM(H2:H17)</f>
        <v>0</v>
      </c>
      <c r="J19" s="1">
        <f ca="1">SUM(J2:J17)</f>
        <v>2.8312206268310547E-7</v>
      </c>
      <c r="K19" s="1">
        <f ca="1">(SUM(K2:K17))/16</f>
        <v>100387698.43741527</v>
      </c>
      <c r="P19" s="5" t="s">
        <v>58</v>
      </c>
      <c r="Q19" s="5">
        <v>-108.96277102388616</v>
      </c>
      <c r="R19" s="5">
        <v>154.91889685967598</v>
      </c>
      <c r="S19" s="5">
        <v>-0.70335364653792731</v>
      </c>
      <c r="T19" s="5">
        <v>0.50178861387146989</v>
      </c>
      <c r="U19" s="5">
        <v>-466.20661882591583</v>
      </c>
      <c r="V19" s="5">
        <v>248.28107677814353</v>
      </c>
      <c r="W19" s="5">
        <v>-466.20661882591583</v>
      </c>
      <c r="X19" s="5">
        <v>248.28107677814353</v>
      </c>
    </row>
    <row r="20" spans="1:24">
      <c r="P20" s="5" t="s">
        <v>59</v>
      </c>
      <c r="Q20" s="5">
        <v>-2.2020393670422651</v>
      </c>
      <c r="R20" s="5">
        <v>0.56532600400900945</v>
      </c>
      <c r="S20" s="5">
        <v>-3.8951673042218165</v>
      </c>
      <c r="T20" s="5">
        <v>4.5757379538529366E-3</v>
      </c>
      <c r="U20" s="5">
        <v>-3.5056843130662281</v>
      </c>
      <c r="V20" s="5">
        <v>-0.89839442101830214</v>
      </c>
      <c r="W20" s="5">
        <v>-3.5056843130662281</v>
      </c>
      <c r="X20" s="5">
        <v>-0.89839442101830214</v>
      </c>
    </row>
    <row r="21" spans="1:24">
      <c r="P21" s="5" t="s">
        <v>60</v>
      </c>
      <c r="Q21" s="5">
        <v>-1.0333136120404947</v>
      </c>
      <c r="R21" s="5">
        <v>0.22055922200314754</v>
      </c>
      <c r="S21" s="5">
        <v>-4.6849712410834883</v>
      </c>
      <c r="T21" s="5">
        <v>1.5717253745048899E-3</v>
      </c>
      <c r="U21" s="5">
        <v>-1.5419244189454575</v>
      </c>
      <c r="V21" s="5">
        <v>-0.5247028051355318</v>
      </c>
      <c r="W21" s="5">
        <v>-1.5419244189454575</v>
      </c>
      <c r="X21" s="5">
        <v>-0.5247028051355318</v>
      </c>
    </row>
    <row r="22" spans="1:24">
      <c r="A22" t="s">
        <v>64</v>
      </c>
      <c r="B22" s="1">
        <v>1</v>
      </c>
      <c r="P22" s="5" t="s">
        <v>61</v>
      </c>
      <c r="Q22" s="5">
        <v>5.3022843126205262E-2</v>
      </c>
      <c r="R22" s="5">
        <v>0.27583073582857787</v>
      </c>
      <c r="S22" s="5">
        <v>0.19222964027894873</v>
      </c>
      <c r="T22" s="5">
        <v>0.85235224463868675</v>
      </c>
      <c r="U22" s="5">
        <v>-0.58304438564267647</v>
      </c>
      <c r="V22" s="5">
        <v>0.68909007189508709</v>
      </c>
      <c r="W22" s="5">
        <v>-0.58304438564267647</v>
      </c>
      <c r="X22" s="5">
        <v>0.68909007189508709</v>
      </c>
    </row>
    <row r="23" spans="1:24">
      <c r="P23" s="5" t="s">
        <v>62</v>
      </c>
      <c r="Q23" s="5">
        <v>1951.7833473802016</v>
      </c>
      <c r="R23" s="5">
        <v>500.22843995781761</v>
      </c>
      <c r="S23" s="5">
        <v>3.9017840479937287</v>
      </c>
      <c r="T23" s="5">
        <v>4.533235177723984E-3</v>
      </c>
      <c r="U23" s="5">
        <v>798.25375032655575</v>
      </c>
      <c r="V23" s="5">
        <v>3105.3129444338474</v>
      </c>
      <c r="W23" s="5">
        <v>798.25375032655575</v>
      </c>
      <c r="X23" s="5">
        <v>3105.3129444338474</v>
      </c>
    </row>
    <row r="24" spans="1:24">
      <c r="P24" s="5" t="s">
        <v>63</v>
      </c>
      <c r="Q24" s="5">
        <v>108.911449131054</v>
      </c>
      <c r="R24" s="5">
        <v>154.89684464048338</v>
      </c>
      <c r="S24" s="5">
        <v>0.70312245148594343</v>
      </c>
      <c r="T24" s="5">
        <v>0.50192512129977906</v>
      </c>
      <c r="U24" s="5">
        <v>-248.28154612944184</v>
      </c>
      <c r="V24" s="5">
        <v>466.10444439154981</v>
      </c>
      <c r="W24" s="5">
        <v>-248.28154612944184</v>
      </c>
      <c r="X24" s="5">
        <v>466.10444439154981</v>
      </c>
    </row>
    <row r="25" spans="1:24">
      <c r="A25" t="s">
        <v>87</v>
      </c>
      <c r="B25">
        <f t="array" ref="B25:H31">MMULT(TRANSPOSE(B2:G17),B2:G17)</f>
        <v>1.6000032538016714E+17</v>
      </c>
      <c r="C25">
        <v>1.6062048083670064E+17</v>
      </c>
      <c r="D25">
        <v>1.6000527199528909E+17</v>
      </c>
      <c r="E25">
        <v>1.6000433339429318E+17</v>
      </c>
      <c r="F25">
        <v>1.6018804128213962E+17</v>
      </c>
      <c r="G25">
        <v>1.6000328989318051E+17</v>
      </c>
      <c r="H25" t="e">
        <v>#N/A</v>
      </c>
    </row>
    <row r="26" spans="1:24">
      <c r="B26">
        <v>1.6062048083670064E+17</v>
      </c>
      <c r="C26">
        <v>1.612431881515599E+17</v>
      </c>
      <c r="D26">
        <v>1.6062544745054182E+17</v>
      </c>
      <c r="E26">
        <v>1.6062450483294518E+17</v>
      </c>
      <c r="F26">
        <v>1.6080893458023536E+17</v>
      </c>
      <c r="G26">
        <v>1.6062345683117018E+17</v>
      </c>
      <c r="H26" t="e">
        <v>#N/A</v>
      </c>
    </row>
    <row r="27" spans="1:24">
      <c r="B27">
        <v>1.6000527199528909E+17</v>
      </c>
      <c r="C27">
        <v>1.6062544745054182E+17</v>
      </c>
      <c r="D27">
        <v>1.6001021877625427E+17</v>
      </c>
      <c r="E27">
        <v>1.6000928013145277E+17</v>
      </c>
      <c r="F27">
        <v>1.6019299376648554E+17</v>
      </c>
      <c r="G27">
        <v>1.6000823659990586E+17</v>
      </c>
      <c r="H27" t="e">
        <v>#N/A</v>
      </c>
    </row>
    <row r="28" spans="1:24">
      <c r="B28">
        <v>1.6000433339429318E+17</v>
      </c>
      <c r="C28">
        <v>1.6062450483294518E+17</v>
      </c>
      <c r="D28">
        <v>1.6000928013145277E+17</v>
      </c>
      <c r="E28">
        <v>1.600083415159817E+17</v>
      </c>
      <c r="F28">
        <v>1.6019205402386422E+17</v>
      </c>
      <c r="G28">
        <v>1.6000729798153706E+17</v>
      </c>
      <c r="H28" t="e">
        <v>#N/A</v>
      </c>
      <c r="P28" s="5" t="s">
        <v>11</v>
      </c>
      <c r="Q28" s="5">
        <v>8.0265779470249355E-14</v>
      </c>
      <c r="R28" s="5">
        <v>76.213518390491146</v>
      </c>
      <c r="S28" s="5">
        <v>1.0531698465749325E-15</v>
      </c>
    </row>
    <row r="29" spans="1:24">
      <c r="B29">
        <v>1.6018804128213962E+17</v>
      </c>
      <c r="C29">
        <v>1.6080893458023536E+17</v>
      </c>
      <c r="D29">
        <v>1.6019299376648554E+17</v>
      </c>
      <c r="E29">
        <v>1.6019205402386422E+17</v>
      </c>
      <c r="F29">
        <v>1.6037597814014266E+17</v>
      </c>
      <c r="G29">
        <v>1.6019100927257709E+17</v>
      </c>
      <c r="H29" t="e">
        <v>#N/A</v>
      </c>
      <c r="P29" s="5" t="s">
        <v>24</v>
      </c>
      <c r="Q29" s="5">
        <v>15.061872271367392</v>
      </c>
      <c r="R29" s="5">
        <v>84.914925774774105</v>
      </c>
      <c r="S29" s="5">
        <v>0.17737602822991411</v>
      </c>
    </row>
    <row r="30" spans="1:24">
      <c r="B30">
        <v>1.6000328989318051E+17</v>
      </c>
      <c r="C30">
        <v>1.6062345683117018E+17</v>
      </c>
      <c r="D30">
        <v>1.6000823659990586E+17</v>
      </c>
      <c r="E30">
        <v>1.6000729798153706E+17</v>
      </c>
      <c r="F30">
        <v>1.6019100927257709E+17</v>
      </c>
      <c r="G30">
        <v>1.6000625446112144E+17</v>
      </c>
      <c r="H30" t="e">
        <v>#N/A</v>
      </c>
      <c r="P30" s="5" t="s">
        <v>25</v>
      </c>
      <c r="Q30" s="5">
        <v>-3.5819179292596717E-2</v>
      </c>
      <c r="R30" s="5">
        <v>3.3491007772246215E-2</v>
      </c>
      <c r="S30" s="5">
        <v>-1.0695163172211213</v>
      </c>
    </row>
    <row r="31" spans="1:24">
      <c r="B31" t="e">
        <v>#N/A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  <c r="H31" t="e">
        <v>#N/A</v>
      </c>
      <c r="P31" s="5" t="s">
        <v>26</v>
      </c>
      <c r="Q31" s="5">
        <v>-2.0202298038169184</v>
      </c>
      <c r="R31" s="5">
        <v>0.48839968165173753</v>
      </c>
      <c r="S31" s="5">
        <v>-4.1364273559405813</v>
      </c>
    </row>
    <row r="32" spans="1:24">
      <c r="P32" s="5" t="s">
        <v>27</v>
      </c>
      <c r="Q32" s="5">
        <v>-1.0332268671736156</v>
      </c>
      <c r="R32" s="5">
        <v>0.2142741631616796</v>
      </c>
      <c r="S32" s="5">
        <v>-4.8219853104454726</v>
      </c>
    </row>
    <row r="33" spans="1:19">
      <c r="P33" s="5" t="s">
        <v>28</v>
      </c>
      <c r="Q33" s="5">
        <v>-5.1104105653564158E-2</v>
      </c>
      <c r="R33" s="5">
        <v>0.22607320006938725</v>
      </c>
      <c r="S33" s="5">
        <v>-0.22605114466411361</v>
      </c>
    </row>
    <row r="34" spans="1:19">
      <c r="P34" s="5" t="s">
        <v>29</v>
      </c>
      <c r="Q34" s="5">
        <v>1829.1514646136734</v>
      </c>
      <c r="R34" s="5">
        <v>455.47849914223428</v>
      </c>
      <c r="S34" s="5">
        <v>4.0158898127098555</v>
      </c>
    </row>
    <row r="35" spans="1:19">
      <c r="A35" t="s">
        <v>88</v>
      </c>
      <c r="B35">
        <f t="array" ref="B35:H41">MMULT(MINVERSE(B25:G30),B25:G30)</f>
        <v>2</v>
      </c>
      <c r="C35">
        <v>1</v>
      </c>
      <c r="D35">
        <v>0</v>
      </c>
      <c r="E35">
        <v>1</v>
      </c>
      <c r="F35">
        <v>0</v>
      </c>
      <c r="G35">
        <v>1</v>
      </c>
      <c r="H35" t="e">
        <v>#N/A</v>
      </c>
    </row>
    <row r="36" spans="1:19">
      <c r="B36">
        <v>0</v>
      </c>
      <c r="C36">
        <v>1</v>
      </c>
      <c r="D36">
        <v>1.220703125E-4</v>
      </c>
      <c r="E36">
        <v>0</v>
      </c>
      <c r="F36">
        <v>-2.44140625E-4</v>
      </c>
      <c r="G36">
        <v>-1.220703125E-4</v>
      </c>
      <c r="H36" t="e">
        <v>#N/A</v>
      </c>
    </row>
    <row r="37" spans="1:19">
      <c r="B37">
        <v>-1.953125E-3</v>
      </c>
      <c r="C37">
        <v>-1.953125E-3</v>
      </c>
      <c r="D37">
        <v>0.998046875</v>
      </c>
      <c r="E37">
        <v>-1.953125E-3</v>
      </c>
      <c r="F37">
        <v>-3.90625E-3</v>
      </c>
      <c r="G37">
        <v>-5.859375E-3</v>
      </c>
      <c r="H37" t="e">
        <v>#N/A</v>
      </c>
    </row>
    <row r="38" spans="1:19">
      <c r="B38">
        <v>0</v>
      </c>
      <c r="C38">
        <v>-4.8828125E-4</v>
      </c>
      <c r="D38">
        <v>4.8828125E-4</v>
      </c>
      <c r="E38">
        <v>1</v>
      </c>
      <c r="F38">
        <v>-4.8828125E-4</v>
      </c>
      <c r="G38">
        <v>0</v>
      </c>
      <c r="H38" t="e">
        <v>#N/A</v>
      </c>
    </row>
    <row r="39" spans="1:19">
      <c r="B39">
        <v>9.765625E-4</v>
      </c>
      <c r="C39">
        <v>1.953125E-3</v>
      </c>
      <c r="D39">
        <v>-9.765625E-4</v>
      </c>
      <c r="E39">
        <v>-1.953125E-3</v>
      </c>
      <c r="F39">
        <v>1.0009765625</v>
      </c>
      <c r="G39">
        <v>9.765625E-4</v>
      </c>
      <c r="H39" t="e">
        <v>#N/A</v>
      </c>
    </row>
    <row r="40" spans="1:19">
      <c r="B40">
        <v>1</v>
      </c>
      <c r="C40">
        <v>0</v>
      </c>
      <c r="D40">
        <v>0</v>
      </c>
      <c r="E40">
        <v>1</v>
      </c>
      <c r="F40">
        <v>0</v>
      </c>
      <c r="G40">
        <v>0</v>
      </c>
      <c r="H40" t="e">
        <v>#N/A</v>
      </c>
    </row>
    <row r="41" spans="1:19">
      <c r="B41" t="e">
        <v>#N/A</v>
      </c>
      <c r="C41" t="e">
        <v>#N/A</v>
      </c>
      <c r="D41" t="e">
        <v>#N/A</v>
      </c>
      <c r="E41" t="e">
        <v>#N/A</v>
      </c>
      <c r="F41" t="e">
        <v>#N/A</v>
      </c>
      <c r="G41" t="e">
        <v>#N/A</v>
      </c>
      <c r="H41" t="e">
        <v>#N/A</v>
      </c>
    </row>
    <row r="44" spans="1:19">
      <c r="B44" s="12">
        <f>MDETERM(B35:G40)</f>
        <v>-0.99914128054047091</v>
      </c>
      <c r="C44">
        <v>1</v>
      </c>
      <c r="D44" t="e">
        <f ca="1">[1]!NewLRE(B44,C44)</f>
        <v>#NAME?</v>
      </c>
    </row>
    <row r="50" spans="1:8">
      <c r="A50" s="5"/>
      <c r="B50" s="5" t="s">
        <v>68</v>
      </c>
      <c r="C50" s="5" t="s">
        <v>69</v>
      </c>
      <c r="D50" s="5" t="s">
        <v>70</v>
      </c>
      <c r="E50" s="5" t="s">
        <v>71</v>
      </c>
      <c r="F50" s="5" t="s">
        <v>72</v>
      </c>
      <c r="G50" s="5" t="s">
        <v>73</v>
      </c>
      <c r="H50" s="5" t="s">
        <v>74</v>
      </c>
    </row>
    <row r="51" spans="1:8">
      <c r="A51" s="5" t="s">
        <v>68</v>
      </c>
      <c r="B51" s="17">
        <v>1</v>
      </c>
      <c r="C51" s="17"/>
      <c r="D51" s="17"/>
      <c r="E51" s="17"/>
      <c r="F51" s="17"/>
      <c r="G51" s="17"/>
      <c r="H51" s="17"/>
    </row>
    <row r="52" spans="1:8">
      <c r="A52" s="5" t="s">
        <v>69</v>
      </c>
      <c r="B52" s="17">
        <v>0.9915891780247823</v>
      </c>
      <c r="C52" s="17">
        <v>1</v>
      </c>
      <c r="D52" s="17"/>
      <c r="E52" s="17"/>
      <c r="F52" s="17"/>
      <c r="G52" s="17"/>
      <c r="H52" s="17"/>
    </row>
    <row r="53" spans="1:8">
      <c r="A53" s="5" t="s">
        <v>70</v>
      </c>
      <c r="B53" s="17">
        <v>0.62063339255909644</v>
      </c>
      <c r="C53" s="17">
        <v>0.60426093988955787</v>
      </c>
      <c r="D53" s="17">
        <v>1</v>
      </c>
      <c r="E53" s="17"/>
      <c r="F53" s="17"/>
      <c r="G53" s="17"/>
      <c r="H53" s="17"/>
    </row>
    <row r="54" spans="1:8">
      <c r="A54" s="5" t="s">
        <v>71</v>
      </c>
      <c r="B54" s="17">
        <v>0.46474418760067454</v>
      </c>
      <c r="C54" s="17">
        <v>0.44643679189262642</v>
      </c>
      <c r="D54" s="17">
        <v>-0.17742062950187831</v>
      </c>
      <c r="E54" s="17">
        <v>1</v>
      </c>
      <c r="F54" s="17"/>
      <c r="G54" s="17"/>
      <c r="H54" s="17"/>
    </row>
    <row r="55" spans="1:8">
      <c r="A55" s="5" t="s">
        <v>72</v>
      </c>
      <c r="B55" s="17">
        <v>0.97916343297749808</v>
      </c>
      <c r="C55" s="17">
        <v>0.99109006945847766</v>
      </c>
      <c r="D55" s="17">
        <v>0.68655151636531198</v>
      </c>
      <c r="E55" s="17">
        <v>0.36441626718903197</v>
      </c>
      <c r="F55" s="17">
        <v>1</v>
      </c>
      <c r="G55" s="17"/>
      <c r="H55" s="17"/>
    </row>
    <row r="56" spans="1:8">
      <c r="A56" s="5" t="s">
        <v>73</v>
      </c>
      <c r="B56" s="17">
        <v>0.99114919006720503</v>
      </c>
      <c r="C56" s="17">
        <v>0.99527348376478475</v>
      </c>
      <c r="D56" s="17">
        <v>0.66825660456217462</v>
      </c>
      <c r="E56" s="17">
        <v>0.41724514983494537</v>
      </c>
      <c r="F56" s="17">
        <v>0.99395284623292546</v>
      </c>
      <c r="G56" s="17">
        <v>1</v>
      </c>
      <c r="H56" s="17"/>
    </row>
    <row r="57" spans="1:8">
      <c r="A57" s="5" t="s">
        <v>74</v>
      </c>
      <c r="B57" s="17">
        <v>0.99158899447884852</v>
      </c>
      <c r="C57" s="17">
        <v>0.99999999997856859</v>
      </c>
      <c r="D57" s="17">
        <v>0.60426074848413347</v>
      </c>
      <c r="E57" s="17">
        <v>0.44643576041901717</v>
      </c>
      <c r="F57" s="17">
        <v>0.99108996487879886</v>
      </c>
      <c r="G57" s="17">
        <v>0.99527338440058399</v>
      </c>
      <c r="H57" s="17">
        <v>1</v>
      </c>
    </row>
    <row r="64" spans="1:8">
      <c r="A64" s="15" t="s">
        <v>56</v>
      </c>
      <c r="B64" s="15" t="s">
        <v>57</v>
      </c>
      <c r="C64" s="15" t="s">
        <v>58</v>
      </c>
      <c r="D64" s="15" t="s">
        <v>59</v>
      </c>
      <c r="E64" s="15" t="s">
        <v>60</v>
      </c>
      <c r="F64" s="15" t="s">
        <v>61</v>
      </c>
      <c r="G64" s="15" t="s">
        <v>62</v>
      </c>
      <c r="H64" s="15" t="s">
        <v>63</v>
      </c>
    </row>
    <row r="65" spans="1:8">
      <c r="A65" s="1">
        <v>-4994</v>
      </c>
      <c r="B65" s="1">
        <v>-18.681249999999999</v>
      </c>
      <c r="C65" s="1">
        <v>-153409.4375</v>
      </c>
      <c r="D65" s="1">
        <v>-837.3125</v>
      </c>
      <c r="E65" s="1">
        <v>-1016.6875</v>
      </c>
      <c r="F65" s="1">
        <v>-9816</v>
      </c>
      <c r="G65" s="1">
        <v>-7.5</v>
      </c>
      <c r="H65" s="1">
        <v>-153409.74810241128</v>
      </c>
    </row>
    <row r="66" spans="1:8">
      <c r="A66" s="1">
        <v>-4195</v>
      </c>
      <c r="B66" s="1">
        <v>-13.18125</v>
      </c>
      <c r="C66" s="1">
        <v>-128272.4375</v>
      </c>
      <c r="D66" s="1">
        <v>-868.3125</v>
      </c>
      <c r="E66" s="1">
        <v>-1150.6875</v>
      </c>
      <c r="F66" s="1">
        <v>-8792</v>
      </c>
      <c r="G66" s="1">
        <v>-6.5</v>
      </c>
      <c r="H66" s="1">
        <v>-128272.13488566905</v>
      </c>
    </row>
    <row r="67" spans="1:8">
      <c r="A67" s="1">
        <v>-5146</v>
      </c>
      <c r="B67" s="1">
        <v>-13.481249999999999</v>
      </c>
      <c r="C67" s="1">
        <v>-129644.4375</v>
      </c>
      <c r="D67" s="1">
        <v>488.6875</v>
      </c>
      <c r="E67" s="1">
        <v>-990.6875</v>
      </c>
      <c r="F67" s="1">
        <v>-7651</v>
      </c>
      <c r="G67" s="1">
        <v>-5.5</v>
      </c>
      <c r="H67" s="1">
        <v>-129645.31074877095</v>
      </c>
    </row>
    <row r="68" spans="1:8">
      <c r="A68" s="1">
        <v>-4130</v>
      </c>
      <c r="B68" s="1">
        <v>-12.18125</v>
      </c>
      <c r="C68" s="1">
        <v>-103099.4375</v>
      </c>
      <c r="D68" s="1">
        <v>157.6875</v>
      </c>
      <c r="E68" s="1">
        <v>-956.6875</v>
      </c>
      <c r="F68" s="1">
        <v>-6495</v>
      </c>
      <c r="G68" s="1">
        <v>-4.5</v>
      </c>
      <c r="H68" s="1">
        <v>-103098.46227260995</v>
      </c>
    </row>
    <row r="69" spans="1:8">
      <c r="A69" s="1">
        <v>-2096</v>
      </c>
      <c r="B69" s="1">
        <v>-5.4812500000000002</v>
      </c>
      <c r="C69" s="1">
        <v>-58723.4375</v>
      </c>
      <c r="D69" s="1">
        <v>-1094.3125</v>
      </c>
      <c r="E69" s="1">
        <v>492.3125</v>
      </c>
      <c r="F69" s="1">
        <v>-5349</v>
      </c>
      <c r="G69" s="1">
        <v>-3.5</v>
      </c>
      <c r="H69" s="1">
        <v>-58722.577895379203</v>
      </c>
    </row>
    <row r="70" spans="1:8">
      <c r="A70" s="1">
        <v>-1678</v>
      </c>
      <c r="B70" s="1">
        <v>-3.5812500000000114</v>
      </c>
      <c r="C70" s="1">
        <v>-40699.4375</v>
      </c>
      <c r="D70" s="1">
        <v>-1261.3125</v>
      </c>
      <c r="E70" s="1">
        <v>987.3125</v>
      </c>
      <c r="F70" s="1">
        <v>-4154</v>
      </c>
      <c r="G70" s="1">
        <v>-2.5</v>
      </c>
      <c r="H70" s="1">
        <v>-40700.109112156599</v>
      </c>
    </row>
    <row r="71" spans="1:8">
      <c r="A71" s="1">
        <v>-328</v>
      </c>
      <c r="B71" s="1">
        <v>-2.6812500000000057</v>
      </c>
      <c r="C71" s="1">
        <v>-22313.4375</v>
      </c>
      <c r="D71" s="1">
        <v>-1323.3125</v>
      </c>
      <c r="E71" s="1">
        <v>940.3125</v>
      </c>
      <c r="F71" s="1">
        <v>-2330</v>
      </c>
      <c r="G71" s="1">
        <v>-1.5</v>
      </c>
      <c r="H71" s="1">
        <v>-22314.189082942386</v>
      </c>
    </row>
    <row r="72" spans="1:8">
      <c r="A72" s="1">
        <v>-1556</v>
      </c>
      <c r="B72" s="1">
        <v>-1.6812500000000057</v>
      </c>
      <c r="C72" s="1">
        <v>-24586.4375</v>
      </c>
      <c r="D72" s="1">
        <v>384.6875</v>
      </c>
      <c r="E72" s="1">
        <v>743.3125</v>
      </c>
      <c r="F72" s="1">
        <v>-1205</v>
      </c>
      <c r="G72" s="1">
        <v>-0.5</v>
      </c>
      <c r="H72" s="1">
        <v>-24586.582170165355</v>
      </c>
    </row>
    <row r="73" spans="1:8">
      <c r="A73" s="1">
        <v>702</v>
      </c>
      <c r="B73" s="1">
        <v>-0.48125000000000284</v>
      </c>
      <c r="C73" s="1">
        <v>9770.5625</v>
      </c>
      <c r="D73" s="1">
        <v>-289.3125</v>
      </c>
      <c r="E73" s="1">
        <v>441.3125</v>
      </c>
      <c r="F73" s="1">
        <v>-36</v>
      </c>
      <c r="G73" s="1">
        <v>0.5</v>
      </c>
      <c r="H73" s="1">
        <v>9770.9082130265142</v>
      </c>
    </row>
    <row r="74" spans="1:8">
      <c r="A74" s="1">
        <v>2540</v>
      </c>
      <c r="B74" s="1">
        <v>2.9187499999999886</v>
      </c>
      <c r="C74" s="1">
        <v>31481.5625</v>
      </c>
      <c r="D74" s="1">
        <v>-371.3125</v>
      </c>
      <c r="E74" s="1">
        <v>250.3125</v>
      </c>
      <c r="F74" s="1">
        <v>1310</v>
      </c>
      <c r="G74" s="1">
        <v>1.5</v>
      </c>
      <c r="H74" s="1">
        <v>31481.961540390053</v>
      </c>
    </row>
    <row r="75" spans="1:8">
      <c r="A75" s="1">
        <v>2852</v>
      </c>
      <c r="B75" s="1">
        <v>6.71875</v>
      </c>
      <c r="C75" s="1">
        <v>55070.5625</v>
      </c>
      <c r="D75" s="1">
        <v>-257.3125</v>
      </c>
      <c r="E75" s="1">
        <v>191.3125</v>
      </c>
      <c r="F75" s="1">
        <v>3021</v>
      </c>
      <c r="G75" s="1">
        <v>2.5</v>
      </c>
      <c r="H75" s="1">
        <v>55070.689577742014</v>
      </c>
    </row>
    <row r="76" spans="1:8">
      <c r="A76" s="1">
        <v>1196</v>
      </c>
      <c r="B76" s="1">
        <v>9.1187499999999915</v>
      </c>
      <c r="C76" s="1">
        <v>56847.5625</v>
      </c>
      <c r="D76" s="1">
        <v>1487.6875</v>
      </c>
      <c r="E76" s="1">
        <v>30.3125</v>
      </c>
      <c r="F76" s="1">
        <v>4526</v>
      </c>
      <c r="G76" s="1">
        <v>3.5</v>
      </c>
      <c r="H76" s="1">
        <v>56846.744411309148</v>
      </c>
    </row>
    <row r="77" spans="1:8">
      <c r="A77" s="1">
        <v>3338</v>
      </c>
      <c r="B77" s="1">
        <v>10.918749999999999</v>
      </c>
      <c r="C77" s="1">
        <v>95005.5625</v>
      </c>
      <c r="D77" s="1">
        <v>619.6875</v>
      </c>
      <c r="E77" s="1">
        <v>-54.6875</v>
      </c>
      <c r="F77" s="1">
        <v>5942</v>
      </c>
      <c r="G77" s="1">
        <v>4.5</v>
      </c>
      <c r="H77" s="1">
        <v>95006.26487416352</v>
      </c>
    </row>
    <row r="78" spans="1:8">
      <c r="A78" s="1">
        <v>4247</v>
      </c>
      <c r="B78" s="1">
        <v>12.518750000000001</v>
      </c>
      <c r="C78" s="1">
        <v>114902.5625</v>
      </c>
      <c r="D78" s="1">
        <v>737.6875</v>
      </c>
      <c r="E78" s="1">
        <v>-92.6875</v>
      </c>
      <c r="F78" s="1">
        <v>7944</v>
      </c>
      <c r="G78" s="1">
        <v>5.5</v>
      </c>
      <c r="H78" s="1">
        <v>114901.7305669239</v>
      </c>
    </row>
    <row r="79" spans="1:8">
      <c r="A79" s="1">
        <v>4014</v>
      </c>
      <c r="B79" s="1">
        <v>14.018750000000001</v>
      </c>
      <c r="C79" s="1">
        <v>130474.5625</v>
      </c>
      <c r="D79" s="1">
        <v>1612.6875</v>
      </c>
      <c r="E79" s="1">
        <v>-34.6875</v>
      </c>
      <c r="F79" s="1">
        <v>10428</v>
      </c>
      <c r="G79" s="1">
        <v>6.5</v>
      </c>
      <c r="H79" s="1">
        <v>130475.29916653223</v>
      </c>
    </row>
    <row r="80" spans="1:8">
      <c r="A80" s="1">
        <v>5234</v>
      </c>
      <c r="B80" s="1">
        <v>15.21875</v>
      </c>
      <c r="C80" s="1">
        <v>167195.5625</v>
      </c>
      <c r="D80" s="1">
        <v>813.6875</v>
      </c>
      <c r="E80" s="1">
        <v>220.3125</v>
      </c>
      <c r="F80" s="1">
        <v>12657</v>
      </c>
      <c r="G80" s="1">
        <v>7.5</v>
      </c>
      <c r="H80" s="1">
        <v>167195.51592001735</v>
      </c>
    </row>
    <row r="83" spans="1:7">
      <c r="A83" t="s">
        <v>82</v>
      </c>
      <c r="B83" t="s">
        <v>81</v>
      </c>
      <c r="C83" t="s">
        <v>80</v>
      </c>
      <c r="D83" t="s">
        <v>79</v>
      </c>
      <c r="E83" t="s">
        <v>78</v>
      </c>
      <c r="F83" t="s">
        <v>77</v>
      </c>
      <c r="G83" t="s">
        <v>76</v>
      </c>
    </row>
    <row r="84" spans="1:7">
      <c r="A84" s="3">
        <v>60323</v>
      </c>
      <c r="B84" s="3">
        <v>83</v>
      </c>
      <c r="C84" s="4">
        <v>234289</v>
      </c>
      <c r="D84" s="4">
        <v>2356</v>
      </c>
      <c r="E84" s="4">
        <v>1590</v>
      </c>
      <c r="F84" s="4">
        <v>107608</v>
      </c>
      <c r="G84" s="4">
        <v>1947</v>
      </c>
    </row>
    <row r="85" spans="1:7">
      <c r="A85" s="3">
        <v>61122</v>
      </c>
      <c r="B85" s="3">
        <v>88.5</v>
      </c>
      <c r="C85" s="4">
        <v>259426</v>
      </c>
      <c r="D85" s="4">
        <v>2325</v>
      </c>
      <c r="E85" s="4">
        <v>1456</v>
      </c>
      <c r="F85" s="4">
        <v>108632</v>
      </c>
      <c r="G85" s="4">
        <v>1948</v>
      </c>
    </row>
    <row r="86" spans="1:7">
      <c r="A86" s="3">
        <v>60171</v>
      </c>
      <c r="B86" s="3">
        <v>88.2</v>
      </c>
      <c r="C86" s="4">
        <v>258054</v>
      </c>
      <c r="D86" s="4">
        <v>3682</v>
      </c>
      <c r="E86" s="4">
        <v>1616</v>
      </c>
      <c r="F86" s="4">
        <v>109773</v>
      </c>
      <c r="G86" s="4">
        <v>1949</v>
      </c>
    </row>
    <row r="87" spans="1:7">
      <c r="A87" s="3">
        <v>61187</v>
      </c>
      <c r="B87" s="3">
        <v>89.5</v>
      </c>
      <c r="C87" s="4">
        <v>284599</v>
      </c>
      <c r="D87" s="4">
        <v>3351</v>
      </c>
      <c r="E87" s="4">
        <v>1650</v>
      </c>
      <c r="F87" s="4">
        <v>110929</v>
      </c>
      <c r="G87" s="4">
        <v>1950</v>
      </c>
    </row>
    <row r="88" spans="1:7">
      <c r="A88" s="3">
        <v>63221</v>
      </c>
      <c r="B88" s="3">
        <v>96.2</v>
      </c>
      <c r="C88" s="4">
        <v>328975</v>
      </c>
      <c r="D88" s="4">
        <v>2099</v>
      </c>
      <c r="E88" s="4">
        <v>3099</v>
      </c>
      <c r="F88" s="4">
        <v>112075</v>
      </c>
      <c r="G88" s="4">
        <v>1951</v>
      </c>
    </row>
    <row r="89" spans="1:7">
      <c r="A89" s="3">
        <v>63639</v>
      </c>
      <c r="B89" s="3">
        <v>98.1</v>
      </c>
      <c r="C89" s="4">
        <v>346999</v>
      </c>
      <c r="D89" s="4">
        <v>1932</v>
      </c>
      <c r="E89" s="4">
        <v>3594</v>
      </c>
      <c r="F89" s="4">
        <v>113270</v>
      </c>
      <c r="G89" s="4">
        <v>1952</v>
      </c>
    </row>
    <row r="90" spans="1:7">
      <c r="A90" s="3">
        <v>64989</v>
      </c>
      <c r="B90" s="3">
        <v>99</v>
      </c>
      <c r="C90" s="4">
        <v>365385</v>
      </c>
      <c r="D90" s="4">
        <v>1870</v>
      </c>
      <c r="E90" s="4">
        <v>3547</v>
      </c>
      <c r="F90" s="4">
        <v>115094</v>
      </c>
      <c r="G90" s="4">
        <v>1953</v>
      </c>
    </row>
    <row r="91" spans="1:7">
      <c r="A91" s="3">
        <v>63761</v>
      </c>
      <c r="B91" s="3">
        <v>100</v>
      </c>
      <c r="C91" s="4">
        <v>363112</v>
      </c>
      <c r="D91" s="4">
        <v>3578</v>
      </c>
      <c r="E91" s="4">
        <v>3350</v>
      </c>
      <c r="F91" s="4">
        <v>116219</v>
      </c>
      <c r="G91" s="4">
        <v>1954</v>
      </c>
    </row>
    <row r="92" spans="1:7">
      <c r="A92" s="3">
        <v>66019</v>
      </c>
      <c r="B92" s="3">
        <v>101.2</v>
      </c>
      <c r="C92" s="4">
        <v>397469</v>
      </c>
      <c r="D92" s="4">
        <v>2904</v>
      </c>
      <c r="E92" s="4">
        <v>3048</v>
      </c>
      <c r="F92" s="4">
        <v>117388</v>
      </c>
      <c r="G92" s="4">
        <v>1955</v>
      </c>
    </row>
    <row r="93" spans="1:7">
      <c r="A93" s="3">
        <v>67857</v>
      </c>
      <c r="B93" s="3">
        <v>104.6</v>
      </c>
      <c r="C93" s="4">
        <v>419180</v>
      </c>
      <c r="D93" s="4">
        <v>2822</v>
      </c>
      <c r="E93" s="4">
        <v>2857</v>
      </c>
      <c r="F93" s="4">
        <v>118734</v>
      </c>
      <c r="G93" s="4">
        <v>1956</v>
      </c>
    </row>
    <row r="94" spans="1:7">
      <c r="A94" s="3">
        <v>68169</v>
      </c>
      <c r="B94" s="3">
        <v>108.4</v>
      </c>
      <c r="C94" s="4">
        <v>442769</v>
      </c>
      <c r="D94" s="4">
        <v>2936</v>
      </c>
      <c r="E94" s="4">
        <v>2798</v>
      </c>
      <c r="F94" s="4">
        <v>120445</v>
      </c>
      <c r="G94" s="4">
        <v>1957</v>
      </c>
    </row>
    <row r="95" spans="1:7">
      <c r="A95" s="3">
        <v>66513</v>
      </c>
      <c r="B95" s="3">
        <v>110.8</v>
      </c>
      <c r="C95" s="4">
        <v>444546</v>
      </c>
      <c r="D95" s="4">
        <v>4681</v>
      </c>
      <c r="E95" s="4">
        <v>2637</v>
      </c>
      <c r="F95" s="4">
        <v>121950</v>
      </c>
      <c r="G95" s="4">
        <v>1958</v>
      </c>
    </row>
    <row r="96" spans="1:7">
      <c r="A96" s="3">
        <v>68655</v>
      </c>
      <c r="B96" s="3">
        <v>112.6</v>
      </c>
      <c r="C96" s="4">
        <v>482704</v>
      </c>
      <c r="D96" s="4">
        <v>3813</v>
      </c>
      <c r="E96" s="4">
        <v>2552</v>
      </c>
      <c r="F96" s="4">
        <v>123366</v>
      </c>
      <c r="G96" s="4">
        <v>1959</v>
      </c>
    </row>
    <row r="97" spans="1:7">
      <c r="A97" s="3">
        <v>69564</v>
      </c>
      <c r="B97" s="3">
        <v>114.2</v>
      </c>
      <c r="C97" s="4">
        <v>502601</v>
      </c>
      <c r="D97" s="4">
        <v>3931</v>
      </c>
      <c r="E97" s="4">
        <v>2514</v>
      </c>
      <c r="F97" s="4">
        <v>125368</v>
      </c>
      <c r="G97" s="4">
        <v>1960</v>
      </c>
    </row>
    <row r="98" spans="1:7">
      <c r="A98" s="3">
        <v>69331</v>
      </c>
      <c r="B98" s="3">
        <v>115.7</v>
      </c>
      <c r="C98" s="4">
        <v>518173</v>
      </c>
      <c r="D98" s="4">
        <v>4806</v>
      </c>
      <c r="E98" s="4">
        <v>2572</v>
      </c>
      <c r="F98" s="4">
        <v>127852</v>
      </c>
      <c r="G98" s="4">
        <v>1961</v>
      </c>
    </row>
    <row r="99" spans="1:7">
      <c r="A99" s="3">
        <v>70551</v>
      </c>
      <c r="B99" s="3">
        <v>116.9</v>
      </c>
      <c r="C99" s="4">
        <v>554894</v>
      </c>
      <c r="D99" s="4">
        <v>4007</v>
      </c>
      <c r="E99" s="4">
        <v>2827</v>
      </c>
      <c r="F99" s="4">
        <v>130081</v>
      </c>
      <c r="G99" s="4">
        <v>1962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dimension ref="A1:S109"/>
  <sheetViews>
    <sheetView tabSelected="1" topLeftCell="A9" workbookViewId="0">
      <selection activeCell="G27" sqref="G27"/>
    </sheetView>
  </sheetViews>
  <sheetFormatPr defaultRowHeight="12.75"/>
  <cols>
    <col min="1" max="1" width="12.7109375" bestFit="1" customWidth="1"/>
    <col min="2" max="2" width="12.5703125" bestFit="1" customWidth="1"/>
    <col min="3" max="3" width="10.42578125" customWidth="1"/>
    <col min="4" max="4" width="12.28515625" bestFit="1" customWidth="1"/>
    <col min="5" max="5" width="11.28515625" bestFit="1" customWidth="1"/>
    <col min="6" max="6" width="10.140625" customWidth="1"/>
    <col min="7" max="7" width="11.140625" bestFit="1" customWidth="1"/>
    <col min="11" max="11" width="21.85546875" customWidth="1"/>
    <col min="12" max="12" width="17.5703125" customWidth="1"/>
    <col min="13" max="13" width="17.28515625" customWidth="1"/>
    <col min="14" max="14" width="18" customWidth="1"/>
    <col min="15" max="15" width="18.7109375" customWidth="1"/>
    <col min="16" max="16" width="16.28515625" customWidth="1"/>
    <col min="17" max="17" width="17.42578125" customWidth="1"/>
    <col min="19" max="19" width="17.140625" customWidth="1"/>
  </cols>
  <sheetData>
    <row r="1" spans="1:19" ht="38.25">
      <c r="A1" s="30" t="s">
        <v>82</v>
      </c>
      <c r="B1" s="30" t="s">
        <v>81</v>
      </c>
      <c r="C1" s="30" t="s">
        <v>80</v>
      </c>
      <c r="D1" s="30" t="s">
        <v>79</v>
      </c>
      <c r="E1" s="30" t="s">
        <v>78</v>
      </c>
      <c r="F1" s="30" t="s">
        <v>77</v>
      </c>
      <c r="G1" s="30" t="s">
        <v>76</v>
      </c>
      <c r="K1" t="s">
        <v>0</v>
      </c>
    </row>
    <row r="2" spans="1:19" ht="13.5" thickBot="1">
      <c r="A2" s="3">
        <v>60323</v>
      </c>
      <c r="B2" s="3">
        <v>83</v>
      </c>
      <c r="C2" s="4">
        <v>234289</v>
      </c>
      <c r="D2" s="4">
        <v>2356</v>
      </c>
      <c r="E2" s="4">
        <v>1590</v>
      </c>
      <c r="F2" s="4">
        <v>107608</v>
      </c>
      <c r="G2" s="4">
        <v>1947</v>
      </c>
    </row>
    <row r="3" spans="1:19">
      <c r="A3" s="3">
        <v>61122</v>
      </c>
      <c r="B3" s="3">
        <v>88.5</v>
      </c>
      <c r="C3" s="4">
        <v>259426</v>
      </c>
      <c r="D3" s="4">
        <v>2325</v>
      </c>
      <c r="E3" s="4">
        <v>1456</v>
      </c>
      <c r="F3" s="4">
        <v>108632</v>
      </c>
      <c r="G3" s="4">
        <v>1948</v>
      </c>
      <c r="K3" s="28" t="s">
        <v>1</v>
      </c>
      <c r="L3" s="28"/>
    </row>
    <row r="4" spans="1:19">
      <c r="A4" s="3">
        <v>60171</v>
      </c>
      <c r="B4" s="3">
        <v>88.2</v>
      </c>
      <c r="C4" s="4">
        <v>258054</v>
      </c>
      <c r="D4" s="4">
        <v>3682</v>
      </c>
      <c r="E4" s="4">
        <v>1616</v>
      </c>
      <c r="F4" s="4">
        <v>109773</v>
      </c>
      <c r="G4" s="4">
        <v>1949</v>
      </c>
      <c r="K4" s="25" t="s">
        <v>2</v>
      </c>
      <c r="L4" s="25">
        <v>0.99773694157192339</v>
      </c>
    </row>
    <row r="5" spans="1:19">
      <c r="A5" s="3">
        <v>61187</v>
      </c>
      <c r="B5" s="3">
        <v>89.5</v>
      </c>
      <c r="C5" s="4">
        <v>284599</v>
      </c>
      <c r="D5" s="4">
        <v>3351</v>
      </c>
      <c r="E5" s="4">
        <v>1650</v>
      </c>
      <c r="F5" s="4">
        <v>110929</v>
      </c>
      <c r="G5" s="4">
        <v>1950</v>
      </c>
      <c r="K5" s="25" t="s">
        <v>3</v>
      </c>
      <c r="L5" s="25">
        <v>0.99547900457729566</v>
      </c>
    </row>
    <row r="6" spans="1:19">
      <c r="A6" s="3">
        <v>63221</v>
      </c>
      <c r="B6" s="3">
        <v>96.2</v>
      </c>
      <c r="C6" s="4">
        <v>328975</v>
      </c>
      <c r="D6" s="4">
        <v>2099</v>
      </c>
      <c r="E6" s="4">
        <v>3099</v>
      </c>
      <c r="F6" s="4">
        <v>112075</v>
      </c>
      <c r="G6" s="4">
        <v>1951</v>
      </c>
      <c r="K6" s="25" t="s">
        <v>4</v>
      </c>
      <c r="L6" s="25">
        <v>0.99246500762882606</v>
      </c>
    </row>
    <row r="7" spans="1:19">
      <c r="A7" s="3">
        <v>63639</v>
      </c>
      <c r="B7" s="3">
        <v>98.1</v>
      </c>
      <c r="C7" s="4">
        <v>346999</v>
      </c>
      <c r="D7" s="4">
        <v>1932</v>
      </c>
      <c r="E7" s="4">
        <v>3594</v>
      </c>
      <c r="F7" s="4">
        <v>113270</v>
      </c>
      <c r="G7" s="4">
        <v>1952</v>
      </c>
      <c r="K7" s="25" t="s">
        <v>5</v>
      </c>
      <c r="L7" s="25">
        <v>304.85407356196464</v>
      </c>
    </row>
    <row r="8" spans="1:19" ht="13.5" thickBot="1">
      <c r="A8" s="3">
        <v>64989</v>
      </c>
      <c r="B8" s="3">
        <v>99</v>
      </c>
      <c r="C8" s="4">
        <v>365385</v>
      </c>
      <c r="D8" s="4">
        <v>1870</v>
      </c>
      <c r="E8" s="4">
        <v>3547</v>
      </c>
      <c r="F8" s="4">
        <v>115094</v>
      </c>
      <c r="G8" s="4">
        <v>1953</v>
      </c>
      <c r="K8" s="26" t="s">
        <v>6</v>
      </c>
      <c r="L8" s="26">
        <v>16</v>
      </c>
    </row>
    <row r="9" spans="1:19">
      <c r="A9" s="3">
        <v>63761</v>
      </c>
      <c r="B9" s="3">
        <v>100</v>
      </c>
      <c r="C9" s="4">
        <v>363112</v>
      </c>
      <c r="D9" s="4">
        <v>3578</v>
      </c>
      <c r="E9" s="4">
        <v>3350</v>
      </c>
      <c r="F9" s="4">
        <v>116219</v>
      </c>
      <c r="G9" s="4">
        <v>1954</v>
      </c>
    </row>
    <row r="10" spans="1:19" ht="13.5" thickBot="1">
      <c r="A10" s="3">
        <v>66019</v>
      </c>
      <c r="B10" s="3">
        <v>101.2</v>
      </c>
      <c r="C10" s="4">
        <v>397469</v>
      </c>
      <c r="D10" s="4">
        <v>2904</v>
      </c>
      <c r="E10" s="4">
        <v>3048</v>
      </c>
      <c r="F10" s="4">
        <v>117388</v>
      </c>
      <c r="G10" s="4">
        <v>1955</v>
      </c>
      <c r="K10" t="s">
        <v>7</v>
      </c>
    </row>
    <row r="11" spans="1:19">
      <c r="A11" s="3">
        <v>67857</v>
      </c>
      <c r="B11" s="3">
        <v>104.6</v>
      </c>
      <c r="C11" s="4">
        <v>419180</v>
      </c>
      <c r="D11" s="4">
        <v>2822</v>
      </c>
      <c r="E11" s="4">
        <v>2857</v>
      </c>
      <c r="F11" s="4">
        <v>118734</v>
      </c>
      <c r="G11" s="4">
        <v>1956</v>
      </c>
      <c r="K11" s="27"/>
      <c r="L11" s="27" t="s">
        <v>12</v>
      </c>
      <c r="M11" s="27" t="s">
        <v>13</v>
      </c>
      <c r="N11" s="27" t="s">
        <v>14</v>
      </c>
      <c r="O11" s="27" t="s">
        <v>15</v>
      </c>
      <c r="P11" s="27" t="s">
        <v>16</v>
      </c>
    </row>
    <row r="12" spans="1:19">
      <c r="A12" s="3">
        <v>68169</v>
      </c>
      <c r="B12" s="3">
        <v>108.4</v>
      </c>
      <c r="C12" s="4">
        <v>442769</v>
      </c>
      <c r="D12" s="4">
        <v>2936</v>
      </c>
      <c r="E12" s="4">
        <v>2798</v>
      </c>
      <c r="F12" s="4">
        <v>120445</v>
      </c>
      <c r="G12" s="4">
        <v>1957</v>
      </c>
      <c r="K12" s="25" t="s">
        <v>8</v>
      </c>
      <c r="L12" s="25">
        <v>6</v>
      </c>
      <c r="M12" s="25">
        <v>184172401.9444941</v>
      </c>
      <c r="N12" s="25">
        <v>30695400.324082348</v>
      </c>
      <c r="O12" s="25">
        <v>330.2853392345886</v>
      </c>
      <c r="P12" s="25">
        <v>4.9840305291320697E-10</v>
      </c>
    </row>
    <row r="13" spans="1:19">
      <c r="A13" s="3">
        <v>66513</v>
      </c>
      <c r="B13" s="3">
        <v>110.8</v>
      </c>
      <c r="C13" s="4">
        <v>444546</v>
      </c>
      <c r="D13" s="4">
        <v>4681</v>
      </c>
      <c r="E13" s="4">
        <v>2637</v>
      </c>
      <c r="F13" s="4">
        <v>121950</v>
      </c>
      <c r="G13" s="4">
        <v>1958</v>
      </c>
      <c r="K13" s="25" t="s">
        <v>9</v>
      </c>
      <c r="L13" s="25">
        <v>9</v>
      </c>
      <c r="M13" s="25">
        <v>836424.05550591392</v>
      </c>
      <c r="N13" s="25">
        <v>92936.006167323765</v>
      </c>
      <c r="O13" s="25"/>
      <c r="P13" s="25"/>
    </row>
    <row r="14" spans="1:19" ht="13.5" thickBot="1">
      <c r="A14" s="3">
        <v>68655</v>
      </c>
      <c r="B14" s="3">
        <v>112.6</v>
      </c>
      <c r="C14" s="4">
        <v>482704</v>
      </c>
      <c r="D14" s="4">
        <v>3813</v>
      </c>
      <c r="E14" s="4">
        <v>2552</v>
      </c>
      <c r="F14" s="4">
        <v>123366</v>
      </c>
      <c r="G14" s="4">
        <v>1959</v>
      </c>
      <c r="K14" s="26" t="s">
        <v>10</v>
      </c>
      <c r="L14" s="26">
        <v>15</v>
      </c>
      <c r="M14" s="26">
        <v>185008826</v>
      </c>
      <c r="N14" s="26"/>
      <c r="O14" s="26"/>
      <c r="P14" s="26"/>
    </row>
    <row r="15" spans="1:19" ht="13.5" thickBot="1">
      <c r="A15" s="3">
        <v>69564</v>
      </c>
      <c r="B15" s="3">
        <v>114.2</v>
      </c>
      <c r="C15" s="4">
        <v>502601</v>
      </c>
      <c r="D15" s="4">
        <v>3931</v>
      </c>
      <c r="E15" s="4">
        <v>2514</v>
      </c>
      <c r="F15" s="4">
        <v>125368</v>
      </c>
      <c r="G15" s="4">
        <v>1960</v>
      </c>
    </row>
    <row r="16" spans="1:19">
      <c r="A16" s="3">
        <v>69331</v>
      </c>
      <c r="B16" s="3">
        <v>115.7</v>
      </c>
      <c r="C16" s="4">
        <v>518173</v>
      </c>
      <c r="D16" s="4">
        <v>4806</v>
      </c>
      <c r="E16" s="4">
        <v>2572</v>
      </c>
      <c r="F16" s="4">
        <v>127852</v>
      </c>
      <c r="G16" s="4">
        <v>1961</v>
      </c>
      <c r="K16" s="27"/>
      <c r="L16" s="27" t="s">
        <v>17</v>
      </c>
      <c r="M16" s="27" t="s">
        <v>5</v>
      </c>
      <c r="N16" s="27" t="s">
        <v>18</v>
      </c>
      <c r="O16" s="27" t="s">
        <v>19</v>
      </c>
      <c r="P16" s="27" t="s">
        <v>20</v>
      </c>
      <c r="Q16" s="27" t="s">
        <v>21</v>
      </c>
      <c r="R16" s="27" t="s">
        <v>22</v>
      </c>
      <c r="S16" s="27" t="s">
        <v>23</v>
      </c>
    </row>
    <row r="17" spans="1:19">
      <c r="A17" s="3">
        <v>70551</v>
      </c>
      <c r="B17" s="3">
        <v>116.9</v>
      </c>
      <c r="C17" s="4">
        <v>554894</v>
      </c>
      <c r="D17" s="4">
        <v>4007</v>
      </c>
      <c r="E17" s="4">
        <v>2827</v>
      </c>
      <c r="F17" s="4">
        <v>130081</v>
      </c>
      <c r="G17" s="4">
        <v>1962</v>
      </c>
      <c r="K17" s="25" t="s">
        <v>11</v>
      </c>
      <c r="L17" s="25">
        <v>-3482258.6345958151</v>
      </c>
      <c r="M17" s="25">
        <v>890420.38360737229</v>
      </c>
      <c r="N17" s="25">
        <v>-3.9108029181543364</v>
      </c>
      <c r="O17" s="25">
        <v>3.5604036532132957E-3</v>
      </c>
      <c r="P17" s="25">
        <v>-5496529.4791569002</v>
      </c>
      <c r="Q17" s="25">
        <v>-1467987.7900347302</v>
      </c>
      <c r="R17" s="25">
        <v>-5496529.4791569002</v>
      </c>
      <c r="S17" s="25">
        <v>-1467987.7900347302</v>
      </c>
    </row>
    <row r="18" spans="1:19">
      <c r="K18" s="25" t="s">
        <v>81</v>
      </c>
      <c r="L18" s="25">
        <v>15.061872271372764</v>
      </c>
      <c r="M18" s="25">
        <v>84.914925774766814</v>
      </c>
      <c r="N18" s="25">
        <v>0.1773760282299926</v>
      </c>
      <c r="O18" s="25">
        <v>0.86314083281932064</v>
      </c>
      <c r="P18" s="25">
        <v>-177.02903490579445</v>
      </c>
      <c r="Q18" s="25">
        <v>207.15277944853997</v>
      </c>
      <c r="R18" s="25">
        <v>-177.02903490579445</v>
      </c>
      <c r="S18" s="25">
        <v>207.15277944853997</v>
      </c>
    </row>
    <row r="19" spans="1:19">
      <c r="K19" s="25" t="s">
        <v>80</v>
      </c>
      <c r="L19" s="25">
        <v>-3.581917929259084E-2</v>
      </c>
      <c r="M19" s="25">
        <v>3.3491007772243182E-2</v>
      </c>
      <c r="N19" s="25">
        <v>-1.0695163172210425</v>
      </c>
      <c r="O19" s="25">
        <v>0.31268106114344774</v>
      </c>
      <c r="P19" s="25">
        <v>-0.11158110225901785</v>
      </c>
      <c r="Q19" s="25">
        <v>3.9942743673836177E-2</v>
      </c>
      <c r="R19" s="25">
        <v>-0.11158110225901785</v>
      </c>
      <c r="S19" s="25">
        <v>3.9942743673836177E-2</v>
      </c>
    </row>
    <row r="20" spans="1:19">
      <c r="A20" s="1"/>
      <c r="B20" s="1"/>
      <c r="C20" s="1"/>
      <c r="D20" s="1"/>
      <c r="E20" s="1"/>
      <c r="F20" s="1"/>
      <c r="G20" s="1"/>
      <c r="K20" s="25" t="s">
        <v>79</v>
      </c>
      <c r="L20" s="25">
        <v>-2.020229803816822</v>
      </c>
      <c r="M20" s="25">
        <v>0.48839968165169922</v>
      </c>
      <c r="N20" s="25">
        <v>-4.1364273559407083</v>
      </c>
      <c r="O20" s="25">
        <v>2.5350917305239909E-3</v>
      </c>
      <c r="P20" s="25">
        <v>-3.1250666397149125</v>
      </c>
      <c r="Q20" s="25">
        <v>-0.91539296791873159</v>
      </c>
      <c r="R20" s="25">
        <v>-3.1250666397149125</v>
      </c>
      <c r="S20" s="25">
        <v>-0.91539296791873159</v>
      </c>
    </row>
    <row r="21" spans="1:19">
      <c r="K21" s="25" t="s">
        <v>78</v>
      </c>
      <c r="L21" s="25">
        <v>-1.0332268671735909</v>
      </c>
      <c r="M21" s="25">
        <v>0.21427416316167508</v>
      </c>
      <c r="N21" s="25">
        <v>-4.8219853104454602</v>
      </c>
      <c r="O21" s="25">
        <v>9.4436676394359868E-4</v>
      </c>
      <c r="P21" s="25">
        <v>-1.5179486991814284</v>
      </c>
      <c r="Q21" s="25">
        <v>-0.54850503516575344</v>
      </c>
      <c r="R21" s="25">
        <v>-1.5179486991814284</v>
      </c>
      <c r="S21" s="25">
        <v>-0.54850503516575344</v>
      </c>
    </row>
    <row r="22" spans="1:19">
      <c r="K22" s="25" t="s">
        <v>77</v>
      </c>
      <c r="L22" s="25">
        <v>-5.1104105653581644E-2</v>
      </c>
      <c r="M22" s="25">
        <v>0.22607320006937037</v>
      </c>
      <c r="N22" s="25">
        <v>-0.22605114466420784</v>
      </c>
      <c r="O22" s="25">
        <v>0.82621179577646942</v>
      </c>
      <c r="P22" s="25">
        <v>-0.56251721346171635</v>
      </c>
      <c r="Q22" s="25">
        <v>0.46030900215455306</v>
      </c>
      <c r="R22" s="25">
        <v>-0.56251721346171635</v>
      </c>
      <c r="S22" s="25">
        <v>0.46030900215455306</v>
      </c>
    </row>
    <row r="23" spans="1:19" ht="13.5" thickBot="1">
      <c r="A23" s="1"/>
      <c r="B23" s="1"/>
      <c r="C23" s="1"/>
      <c r="D23" s="1"/>
      <c r="E23" s="1"/>
      <c r="F23" s="1"/>
      <c r="G23" s="2"/>
      <c r="K23" s="26" t="s">
        <v>76</v>
      </c>
      <c r="L23" s="26">
        <v>1829.1514646135502</v>
      </c>
      <c r="M23" s="26">
        <v>455.47849914221194</v>
      </c>
      <c r="N23" s="26">
        <v>4.0158898127097817</v>
      </c>
      <c r="O23" s="26">
        <v>3.0368033353043843E-3</v>
      </c>
      <c r="P23" s="26">
        <v>798.78751738483527</v>
      </c>
      <c r="Q23" s="26">
        <v>2859.5154118422652</v>
      </c>
      <c r="R23" s="26">
        <v>798.78751738483527</v>
      </c>
      <c r="S23" s="26">
        <v>2859.5154118422652</v>
      </c>
    </row>
    <row r="24" spans="1:19">
      <c r="A24" s="1"/>
      <c r="B24" s="1"/>
      <c r="C24" s="1"/>
      <c r="D24" s="1"/>
      <c r="E24" s="1"/>
      <c r="F24" s="1"/>
      <c r="G24" s="2"/>
    </row>
    <row r="25" spans="1:19">
      <c r="A25" s="1"/>
      <c r="B25" s="1"/>
      <c r="C25" s="1"/>
      <c r="D25" s="1"/>
      <c r="E25" s="1"/>
      <c r="F25" s="1"/>
      <c r="G25" s="2"/>
    </row>
    <row r="26" spans="1:19">
      <c r="A26" s="1"/>
      <c r="B26" s="1"/>
      <c r="C26" s="1"/>
      <c r="D26" s="1"/>
      <c r="E26" s="1"/>
      <c r="F26" s="1"/>
      <c r="G26" s="2"/>
    </row>
    <row r="27" spans="1:19">
      <c r="A27" s="1"/>
      <c r="B27" s="1"/>
      <c r="C27" s="1"/>
      <c r="D27" s="1"/>
      <c r="E27" s="1"/>
      <c r="F27" s="1"/>
      <c r="G27" s="2"/>
      <c r="K27" t="s">
        <v>30</v>
      </c>
      <c r="P27" t="s">
        <v>54</v>
      </c>
    </row>
    <row r="28" spans="1:19" ht="13.5" thickBot="1">
      <c r="A28" s="1"/>
      <c r="B28" s="1"/>
      <c r="C28" s="1"/>
      <c r="D28" s="1"/>
      <c r="E28" s="1"/>
      <c r="F28" s="1"/>
      <c r="G28" s="2"/>
    </row>
    <row r="29" spans="1:19">
      <c r="A29" s="1"/>
      <c r="B29" s="1"/>
      <c r="C29" s="1"/>
      <c r="D29" s="1"/>
      <c r="E29" s="1"/>
      <c r="F29" s="1"/>
      <c r="G29" s="2"/>
      <c r="K29" s="27" t="s">
        <v>31</v>
      </c>
      <c r="L29" s="27" t="s">
        <v>93</v>
      </c>
      <c r="M29" s="27" t="s">
        <v>33</v>
      </c>
      <c r="N29" s="27" t="s">
        <v>94</v>
      </c>
      <c r="P29" s="27" t="s">
        <v>55</v>
      </c>
      <c r="Q29" s="27" t="s">
        <v>82</v>
      </c>
    </row>
    <row r="30" spans="1:19">
      <c r="A30" s="1"/>
      <c r="B30" s="1"/>
      <c r="C30" s="1"/>
      <c r="D30" s="1"/>
      <c r="E30" s="1"/>
      <c r="F30" s="1"/>
      <c r="G30" s="2"/>
      <c r="K30" s="25">
        <v>1</v>
      </c>
      <c r="L30" s="25">
        <v>60055.659970239823</v>
      </c>
      <c r="M30" s="25">
        <v>267.34002976017655</v>
      </c>
      <c r="N30" s="25">
        <v>1.1321301707157863</v>
      </c>
      <c r="P30" s="25">
        <v>3.125</v>
      </c>
      <c r="Q30" s="25">
        <v>60171</v>
      </c>
    </row>
    <row r="31" spans="1:19">
      <c r="A31" s="1"/>
      <c r="B31" s="1"/>
      <c r="C31" s="1"/>
      <c r="D31" s="1"/>
      <c r="E31" s="1"/>
      <c r="F31" s="1"/>
      <c r="G31" s="2"/>
      <c r="K31" s="25">
        <v>2</v>
      </c>
      <c r="L31" s="25">
        <v>61216.013942398611</v>
      </c>
      <c r="M31" s="25">
        <v>-94.013942398611107</v>
      </c>
      <c r="N31" s="25">
        <v>-0.39812975540133116</v>
      </c>
      <c r="P31" s="25">
        <v>9.375</v>
      </c>
      <c r="Q31" s="25">
        <v>60323</v>
      </c>
    </row>
    <row r="32" spans="1:19">
      <c r="A32" s="1"/>
      <c r="B32" s="1"/>
      <c r="C32" s="1"/>
      <c r="D32" s="1"/>
      <c r="E32" s="1"/>
      <c r="F32" s="1"/>
      <c r="G32" s="2"/>
      <c r="K32" s="25">
        <v>3</v>
      </c>
      <c r="L32" s="25">
        <v>60124.7128322422</v>
      </c>
      <c r="M32" s="25">
        <v>46.287167757800489</v>
      </c>
      <c r="N32" s="25">
        <v>0.19601665782186939</v>
      </c>
      <c r="P32" s="25">
        <v>15.625</v>
      </c>
      <c r="Q32" s="25">
        <v>61122</v>
      </c>
    </row>
    <row r="33" spans="1:17">
      <c r="A33" s="1"/>
      <c r="B33" s="1"/>
      <c r="C33" s="1"/>
      <c r="D33" s="1"/>
      <c r="E33" s="1"/>
      <c r="F33" s="1"/>
      <c r="G33" s="2"/>
      <c r="K33" s="25">
        <v>4</v>
      </c>
      <c r="L33" s="25">
        <v>61597.114621931098</v>
      </c>
      <c r="M33" s="25">
        <v>-410.11462193109764</v>
      </c>
      <c r="N33" s="25">
        <v>-1.7367512727383452</v>
      </c>
      <c r="P33" s="25">
        <v>21.875</v>
      </c>
      <c r="Q33" s="25">
        <v>61187</v>
      </c>
    </row>
    <row r="34" spans="1:17">
      <c r="A34" s="1"/>
      <c r="B34" s="1"/>
      <c r="C34" s="1"/>
      <c r="D34" s="1"/>
      <c r="E34" s="1"/>
      <c r="F34" s="1"/>
      <c r="G34" s="2"/>
      <c r="K34" s="25">
        <v>5</v>
      </c>
      <c r="L34" s="25">
        <v>62911.285409239397</v>
      </c>
      <c r="M34" s="25">
        <v>309.71459076060273</v>
      </c>
      <c r="N34" s="25">
        <v>1.3115777417452903</v>
      </c>
      <c r="P34" s="25">
        <v>28.125</v>
      </c>
      <c r="Q34" s="25">
        <v>63221</v>
      </c>
    </row>
    <row r="35" spans="1:17">
      <c r="A35" s="1"/>
      <c r="B35" s="1"/>
      <c r="C35" s="1"/>
      <c r="D35" s="1"/>
      <c r="E35" s="1"/>
      <c r="F35" s="1"/>
      <c r="G35" s="2"/>
      <c r="K35" s="25">
        <v>6</v>
      </c>
      <c r="L35" s="25">
        <v>63888.311215329188</v>
      </c>
      <c r="M35" s="25">
        <v>-249.31121532918769</v>
      </c>
      <c r="N35" s="25">
        <v>-1.055781840920698</v>
      </c>
      <c r="P35" s="25">
        <v>34.375</v>
      </c>
      <c r="Q35" s="25">
        <v>63639</v>
      </c>
    </row>
    <row r="36" spans="1:17">
      <c r="A36" s="1"/>
      <c r="B36" s="1"/>
      <c r="C36" s="1"/>
      <c r="D36" s="1"/>
      <c r="E36" s="1"/>
      <c r="F36" s="1"/>
      <c r="G36" s="2"/>
      <c r="K36" s="25">
        <v>7</v>
      </c>
      <c r="L36" s="25">
        <v>65153.048956395724</v>
      </c>
      <c r="M36" s="25">
        <v>-164.04895639572351</v>
      </c>
      <c r="N36" s="25">
        <v>-0.69471366924229661</v>
      </c>
      <c r="P36" s="25">
        <v>40.625</v>
      </c>
      <c r="Q36" s="25">
        <v>63761</v>
      </c>
    </row>
    <row r="37" spans="1:17">
      <c r="A37" s="1"/>
      <c r="B37" s="1"/>
      <c r="C37" s="1"/>
      <c r="D37" s="1"/>
      <c r="E37" s="1"/>
      <c r="F37" s="1"/>
      <c r="G37" s="2"/>
      <c r="K37" s="25">
        <v>8</v>
      </c>
      <c r="L37" s="25">
        <v>63774.18035686628</v>
      </c>
      <c r="M37" s="25">
        <v>-13.180356866279908</v>
      </c>
      <c r="N37" s="25">
        <v>-5.5816106860250105E-2</v>
      </c>
      <c r="P37" s="25">
        <v>46.875</v>
      </c>
      <c r="Q37" s="25">
        <v>64989</v>
      </c>
    </row>
    <row r="38" spans="1:17">
      <c r="A38" s="1"/>
      <c r="B38" s="1"/>
      <c r="C38" s="1"/>
      <c r="D38" s="1"/>
      <c r="E38" s="1"/>
      <c r="F38" s="1"/>
      <c r="G38" s="2"/>
      <c r="K38" s="25">
        <v>9</v>
      </c>
      <c r="L38" s="25">
        <v>66004.6952274004</v>
      </c>
      <c r="M38" s="25">
        <v>14.304772599600255</v>
      </c>
      <c r="N38" s="25">
        <v>6.0577776772763547E-2</v>
      </c>
      <c r="P38" s="25">
        <v>53.125</v>
      </c>
      <c r="Q38" s="25">
        <v>66019</v>
      </c>
    </row>
    <row r="39" spans="1:17">
      <c r="A39" s="1"/>
      <c r="K39" s="25">
        <v>10</v>
      </c>
      <c r="L39" s="25">
        <v>67401.605905448014</v>
      </c>
      <c r="M39" s="25">
        <v>455.3940945519862</v>
      </c>
      <c r="N39" s="25">
        <v>1.9285005484236712</v>
      </c>
      <c r="P39" s="25">
        <v>59.375</v>
      </c>
      <c r="Q39" s="25">
        <v>66513</v>
      </c>
    </row>
    <row r="40" spans="1:17">
      <c r="K40" s="25">
        <v>11</v>
      </c>
      <c r="L40" s="25">
        <v>68186.268927114405</v>
      </c>
      <c r="M40" s="25">
        <v>-17.268927114404505</v>
      </c>
      <c r="N40" s="25">
        <v>-7.3130362930114198E-2</v>
      </c>
      <c r="P40" s="25">
        <v>65.625</v>
      </c>
      <c r="Q40" s="25">
        <v>67857</v>
      </c>
    </row>
    <row r="41" spans="1:17">
      <c r="K41" s="25">
        <v>12</v>
      </c>
      <c r="L41" s="25">
        <v>66552.055042522741</v>
      </c>
      <c r="M41" s="25">
        <v>-39.055042522741132</v>
      </c>
      <c r="N41" s="25">
        <v>-0.16539009140624258</v>
      </c>
      <c r="P41" s="25">
        <v>71.875</v>
      </c>
      <c r="Q41" s="25">
        <v>68169</v>
      </c>
    </row>
    <row r="42" spans="1:17">
      <c r="K42" s="25">
        <v>13</v>
      </c>
      <c r="L42" s="25">
        <v>68810.549973595131</v>
      </c>
      <c r="M42" s="25">
        <v>-155.54997359513072</v>
      </c>
      <c r="N42" s="25">
        <v>-0.65872222098227651</v>
      </c>
      <c r="P42" s="25">
        <v>78.125</v>
      </c>
      <c r="Q42" s="25">
        <v>68655</v>
      </c>
    </row>
    <row r="43" spans="1:17">
      <c r="K43" s="25">
        <v>14</v>
      </c>
      <c r="L43" s="25">
        <v>69649.671308042132</v>
      </c>
      <c r="M43" s="25">
        <v>-85.671308042132296</v>
      </c>
      <c r="N43" s="25">
        <v>-0.36280041072110297</v>
      </c>
      <c r="P43" s="25">
        <v>84.375</v>
      </c>
      <c r="Q43" s="25">
        <v>69331</v>
      </c>
    </row>
    <row r="44" spans="1:17">
      <c r="K44" s="25">
        <v>15</v>
      </c>
      <c r="L44" s="25">
        <v>68989.068486038639</v>
      </c>
      <c r="M44" s="25">
        <v>341.93151396136091</v>
      </c>
      <c r="N44" s="25">
        <v>1.4480098009319797</v>
      </c>
      <c r="P44" s="25">
        <v>90.625</v>
      </c>
      <c r="Q44" s="25">
        <v>69564</v>
      </c>
    </row>
    <row r="45" spans="1:17" ht="13.5" thickBot="1">
      <c r="K45" s="26">
        <v>16</v>
      </c>
      <c r="L45" s="26">
        <v>70757.757825193432</v>
      </c>
      <c r="M45" s="26">
        <v>-206.75782519343193</v>
      </c>
      <c r="N45" s="26">
        <v>-0.87557696519690176</v>
      </c>
      <c r="P45" s="26">
        <v>96.875</v>
      </c>
      <c r="Q45" s="26">
        <v>70551</v>
      </c>
    </row>
    <row r="51" spans="11:15" ht="13.5" thickBot="1"/>
    <row r="52" spans="11:15">
      <c r="K52" s="27"/>
      <c r="L52" s="27" t="s">
        <v>20</v>
      </c>
      <c r="M52" s="27" t="s">
        <v>21</v>
      </c>
      <c r="N52" s="27" t="s">
        <v>22</v>
      </c>
      <c r="O52" s="27" t="s">
        <v>23</v>
      </c>
    </row>
    <row r="53" spans="11:15">
      <c r="K53" s="25" t="s">
        <v>11</v>
      </c>
      <c r="L53" s="25">
        <v>-5496529.4791569002</v>
      </c>
      <c r="M53" s="25">
        <v>-1467987.7900347302</v>
      </c>
      <c r="N53" s="25">
        <v>-5496529.4791569002</v>
      </c>
      <c r="O53" s="25">
        <v>-1467987.7900347302</v>
      </c>
    </row>
    <row r="54" spans="11:15">
      <c r="K54" s="25" t="s">
        <v>81</v>
      </c>
      <c r="L54" s="25">
        <v>-177.02903490579445</v>
      </c>
      <c r="M54" s="25">
        <v>207.15277944853997</v>
      </c>
      <c r="N54" s="25">
        <v>-177.02903490579445</v>
      </c>
      <c r="O54" s="25">
        <v>207.15277944853997</v>
      </c>
    </row>
    <row r="55" spans="11:15">
      <c r="K55" s="25" t="s">
        <v>80</v>
      </c>
      <c r="L55" s="25">
        <v>-0.11158110225901785</v>
      </c>
      <c r="M55" s="25">
        <v>3.9942743673836177E-2</v>
      </c>
      <c r="N55" s="25">
        <v>-0.11158110225901785</v>
      </c>
      <c r="O55" s="25">
        <v>3.9942743673836177E-2</v>
      </c>
    </row>
    <row r="56" spans="11:15">
      <c r="K56" s="25" t="s">
        <v>79</v>
      </c>
      <c r="L56" s="25">
        <v>-3.1250666397149125</v>
      </c>
      <c r="M56" s="25">
        <v>-0.91539296791873159</v>
      </c>
      <c r="N56" s="25">
        <v>-3.1250666397149125</v>
      </c>
      <c r="O56" s="25">
        <v>-0.91539296791873159</v>
      </c>
    </row>
    <row r="57" spans="11:15">
      <c r="K57" s="25" t="s">
        <v>78</v>
      </c>
      <c r="L57" s="25">
        <v>-1.5179486991814284</v>
      </c>
      <c r="M57" s="25">
        <v>-0.54850503516575344</v>
      </c>
      <c r="N57" s="25">
        <v>-1.5179486991814284</v>
      </c>
      <c r="O57" s="25">
        <v>-0.54850503516575344</v>
      </c>
    </row>
    <row r="58" spans="11:15">
      <c r="K58" s="25" t="s">
        <v>77</v>
      </c>
      <c r="L58" s="25">
        <v>-0.56251721346171635</v>
      </c>
      <c r="M58" s="25">
        <v>0.46030900215455306</v>
      </c>
      <c r="N58" s="25">
        <v>-0.56251721346171635</v>
      </c>
      <c r="O58" s="25">
        <v>0.46030900215455306</v>
      </c>
    </row>
    <row r="59" spans="11:15" ht="13.5" thickBot="1">
      <c r="K59" s="26" t="s">
        <v>76</v>
      </c>
      <c r="L59" s="26">
        <v>798.78751738483527</v>
      </c>
      <c r="M59" s="26">
        <v>2859.5154118422652</v>
      </c>
      <c r="N59" s="26">
        <v>798.78751738483527</v>
      </c>
      <c r="O59" s="26">
        <v>2859.5154118422652</v>
      </c>
    </row>
    <row r="69" spans="1:7">
      <c r="B69" s="32" t="s">
        <v>37</v>
      </c>
      <c r="C69" s="33"/>
      <c r="D69" s="33"/>
      <c r="E69" s="33"/>
      <c r="F69" s="33"/>
      <c r="G69" s="34"/>
    </row>
    <row r="71" spans="1:7">
      <c r="A71">
        <v>1</v>
      </c>
      <c r="B71" s="1">
        <v>-18.681249999999999</v>
      </c>
      <c r="C71" s="1">
        <v>-153409.4375</v>
      </c>
      <c r="D71" s="1">
        <v>-837.3125</v>
      </c>
      <c r="E71" s="1">
        <v>-1016.6875</v>
      </c>
      <c r="F71" s="1">
        <v>-9816</v>
      </c>
      <c r="G71" s="2">
        <v>-7.5</v>
      </c>
    </row>
    <row r="72" spans="1:7">
      <c r="A72">
        <v>1</v>
      </c>
      <c r="B72" s="1">
        <v>-13.18125</v>
      </c>
      <c r="C72" s="1">
        <v>-128272.4375</v>
      </c>
      <c r="D72" s="1">
        <v>-868.3125</v>
      </c>
      <c r="E72" s="1">
        <v>-1150.6875</v>
      </c>
      <c r="F72" s="1">
        <v>-8792</v>
      </c>
      <c r="G72" s="2">
        <v>-6.5</v>
      </c>
    </row>
    <row r="73" spans="1:7">
      <c r="A73">
        <v>1</v>
      </c>
      <c r="B73" s="1">
        <v>-13.481249999999999</v>
      </c>
      <c r="C73" s="1">
        <v>-129644.4375</v>
      </c>
      <c r="D73" s="1">
        <v>488.6875</v>
      </c>
      <c r="E73" s="1">
        <v>-990.6875</v>
      </c>
      <c r="F73" s="1">
        <v>-7651</v>
      </c>
      <c r="G73" s="2">
        <v>-5.5</v>
      </c>
    </row>
    <row r="74" spans="1:7">
      <c r="A74">
        <v>1</v>
      </c>
      <c r="B74" s="1">
        <v>-12.18125</v>
      </c>
      <c r="C74" s="1">
        <v>-103099.4375</v>
      </c>
      <c r="D74" s="1">
        <v>157.6875</v>
      </c>
      <c r="E74" s="1">
        <v>-956.6875</v>
      </c>
      <c r="F74" s="1">
        <v>-6495</v>
      </c>
      <c r="G74" s="2">
        <v>-4.5</v>
      </c>
    </row>
    <row r="75" spans="1:7">
      <c r="A75">
        <v>1</v>
      </c>
      <c r="B75" s="1">
        <v>-5.4812500000000002</v>
      </c>
      <c r="C75" s="1">
        <v>-58723.4375</v>
      </c>
      <c r="D75" s="1">
        <v>-1094.3125</v>
      </c>
      <c r="E75" s="1">
        <v>492.3125</v>
      </c>
      <c r="F75" s="1">
        <v>-5349</v>
      </c>
      <c r="G75" s="2">
        <v>-3.5</v>
      </c>
    </row>
    <row r="76" spans="1:7">
      <c r="A76">
        <v>1</v>
      </c>
      <c r="B76" s="1">
        <v>-3.5812500000000114</v>
      </c>
      <c r="C76" s="1">
        <v>-40699.4375</v>
      </c>
      <c r="D76" s="1">
        <v>-1261.3125</v>
      </c>
      <c r="E76" s="1">
        <v>987.3125</v>
      </c>
      <c r="F76" s="1">
        <v>-4154</v>
      </c>
      <c r="G76" s="2">
        <v>-2.5</v>
      </c>
    </row>
    <row r="77" spans="1:7">
      <c r="A77">
        <v>1</v>
      </c>
      <c r="B77" s="1">
        <v>-2.6812500000000057</v>
      </c>
      <c r="C77" s="1">
        <v>-22313.4375</v>
      </c>
      <c r="D77" s="1">
        <v>-1323.3125</v>
      </c>
      <c r="E77" s="1">
        <v>940.3125</v>
      </c>
      <c r="F77" s="1">
        <v>-2330</v>
      </c>
      <c r="G77" s="2">
        <v>-1.5</v>
      </c>
    </row>
    <row r="78" spans="1:7">
      <c r="A78">
        <v>1</v>
      </c>
      <c r="B78" s="1">
        <v>-1.6812500000000057</v>
      </c>
      <c r="C78" s="1">
        <v>-24586.4375</v>
      </c>
      <c r="D78" s="1">
        <v>384.6875</v>
      </c>
      <c r="E78" s="1">
        <v>743.3125</v>
      </c>
      <c r="F78" s="1">
        <v>-1205</v>
      </c>
      <c r="G78" s="2">
        <v>-0.5</v>
      </c>
    </row>
    <row r="79" spans="1:7">
      <c r="A79">
        <v>1</v>
      </c>
      <c r="B79" s="1">
        <v>-0.48125000000000284</v>
      </c>
      <c r="C79" s="1">
        <v>9770.5625</v>
      </c>
      <c r="D79" s="1">
        <v>-289.3125</v>
      </c>
      <c r="E79" s="1">
        <v>441.3125</v>
      </c>
      <c r="F79" s="1">
        <v>-36</v>
      </c>
      <c r="G79" s="2">
        <v>0.5</v>
      </c>
    </row>
    <row r="80" spans="1:7">
      <c r="A80">
        <v>1</v>
      </c>
      <c r="B80" s="1">
        <v>2.9187499999999886</v>
      </c>
      <c r="C80" s="1">
        <v>31481.5625</v>
      </c>
      <c r="D80" s="1">
        <v>-371.3125</v>
      </c>
      <c r="E80" s="1">
        <v>250.3125</v>
      </c>
      <c r="F80" s="1">
        <v>1310</v>
      </c>
      <c r="G80" s="2">
        <v>1.5</v>
      </c>
    </row>
    <row r="81" spans="1:18">
      <c r="A81">
        <v>1</v>
      </c>
      <c r="B81" s="1">
        <v>6.71875</v>
      </c>
      <c r="C81" s="1">
        <v>55070.5625</v>
      </c>
      <c r="D81" s="1">
        <v>-257.3125</v>
      </c>
      <c r="E81" s="1">
        <v>191.3125</v>
      </c>
      <c r="F81" s="1">
        <v>3021</v>
      </c>
      <c r="G81" s="2">
        <v>2.5</v>
      </c>
    </row>
    <row r="82" spans="1:18">
      <c r="A82">
        <v>1</v>
      </c>
      <c r="B82" s="1">
        <v>9.1187499999999915</v>
      </c>
      <c r="C82" s="1">
        <v>56847.5625</v>
      </c>
      <c r="D82" s="1">
        <v>1487.6875</v>
      </c>
      <c r="E82" s="1">
        <v>30.3125</v>
      </c>
      <c r="F82" s="1">
        <v>4526</v>
      </c>
      <c r="G82" s="2">
        <v>3.5</v>
      </c>
    </row>
    <row r="83" spans="1:18" ht="13.5" thickBot="1">
      <c r="A83">
        <v>1</v>
      </c>
      <c r="B83" s="1">
        <v>10.918749999999999</v>
      </c>
      <c r="C83" s="1">
        <v>95005.5625</v>
      </c>
      <c r="D83" s="1">
        <v>619.6875</v>
      </c>
      <c r="E83" s="1">
        <v>-54.6875</v>
      </c>
      <c r="F83" s="1">
        <v>5942</v>
      </c>
      <c r="G83" s="2">
        <v>4.5</v>
      </c>
    </row>
    <row r="84" spans="1:18">
      <c r="A84">
        <v>1</v>
      </c>
      <c r="B84" s="1">
        <v>12.518750000000001</v>
      </c>
      <c r="C84" s="1">
        <v>114902.5625</v>
      </c>
      <c r="D84" s="1">
        <v>737.6875</v>
      </c>
      <c r="E84" s="1">
        <v>-92.6875</v>
      </c>
      <c r="F84" s="1">
        <v>7944</v>
      </c>
      <c r="G84" s="2">
        <v>5.5</v>
      </c>
      <c r="K84" s="27"/>
      <c r="L84" s="27" t="s">
        <v>82</v>
      </c>
      <c r="M84" s="27" t="s">
        <v>81</v>
      </c>
      <c r="N84" s="27" t="s">
        <v>80</v>
      </c>
      <c r="O84" s="27" t="s">
        <v>79</v>
      </c>
      <c r="P84" s="27" t="s">
        <v>78</v>
      </c>
      <c r="Q84" s="27" t="s">
        <v>77</v>
      </c>
      <c r="R84" s="27" t="s">
        <v>76</v>
      </c>
    </row>
    <row r="85" spans="1:18">
      <c r="A85">
        <v>1</v>
      </c>
      <c r="B85" s="1">
        <v>14.018750000000001</v>
      </c>
      <c r="C85" s="1">
        <v>130474.5625</v>
      </c>
      <c r="D85" s="1">
        <v>1612.6875</v>
      </c>
      <c r="E85" s="1">
        <v>-34.6875</v>
      </c>
      <c r="F85" s="1">
        <v>10428</v>
      </c>
      <c r="G85" s="2">
        <v>6.5</v>
      </c>
      <c r="K85" s="25" t="s">
        <v>82</v>
      </c>
      <c r="L85" s="25">
        <v>1</v>
      </c>
      <c r="M85" s="25"/>
      <c r="N85" s="25"/>
      <c r="O85" s="25"/>
      <c r="P85" s="25"/>
      <c r="Q85" s="25"/>
      <c r="R85" s="25"/>
    </row>
    <row r="86" spans="1:18">
      <c r="A86">
        <v>1</v>
      </c>
      <c r="B86" s="1">
        <v>15.21875</v>
      </c>
      <c r="C86" s="1">
        <v>167195.5625</v>
      </c>
      <c r="D86" s="1">
        <v>813.6875</v>
      </c>
      <c r="E86" s="1">
        <v>220.3125</v>
      </c>
      <c r="F86" s="1">
        <v>12657</v>
      </c>
      <c r="G86" s="2">
        <v>7.5</v>
      </c>
      <c r="K86" s="25" t="s">
        <v>81</v>
      </c>
      <c r="L86" s="25">
        <v>0.97089852506105578</v>
      </c>
      <c r="M86" s="25">
        <v>1</v>
      </c>
      <c r="N86" s="25"/>
      <c r="O86" s="25"/>
      <c r="P86" s="25"/>
      <c r="Q86" s="25"/>
      <c r="R86" s="25"/>
    </row>
    <row r="87" spans="1:18">
      <c r="K87" s="25" t="s">
        <v>80</v>
      </c>
      <c r="L87" s="25">
        <v>0.98355161117966938</v>
      </c>
      <c r="M87" s="25">
        <v>0.9915891780247823</v>
      </c>
      <c r="N87" s="25">
        <v>1</v>
      </c>
      <c r="O87" s="25"/>
      <c r="P87" s="25"/>
      <c r="Q87" s="25"/>
      <c r="R87" s="25"/>
    </row>
    <row r="88" spans="1:18">
      <c r="K88" s="25" t="s">
        <v>79</v>
      </c>
      <c r="L88" s="25">
        <v>0.50249808387599404</v>
      </c>
      <c r="M88" s="25">
        <v>0.62063339255909644</v>
      </c>
      <c r="N88" s="25">
        <v>0.60426093988955787</v>
      </c>
      <c r="O88" s="25">
        <v>1</v>
      </c>
      <c r="P88" s="25"/>
      <c r="Q88" s="25"/>
      <c r="R88" s="25"/>
    </row>
    <row r="89" spans="1:18">
      <c r="A89">
        <f t="array" ref="A89:G95">MMULT(A71:G86,(TRANSPOSE(A71:G86)))</f>
        <v>23632544522.00082</v>
      </c>
      <c r="B89">
        <v>19766401990.128944</v>
      </c>
      <c r="C89">
        <v>19964380777.420822</v>
      </c>
      <c r="D89">
        <v>15881022514.260195</v>
      </c>
      <c r="E89">
        <v>9061651182.1583195</v>
      </c>
      <c r="F89">
        <v>6284505888.5389452</v>
      </c>
      <c r="G89">
        <v>3446115260.0383205</v>
      </c>
      <c r="K89" s="25" t="s">
        <v>78</v>
      </c>
      <c r="L89" s="25">
        <v>0.45730739997648173</v>
      </c>
      <c r="M89" s="25">
        <v>0.46474418760067454</v>
      </c>
      <c r="N89" s="25">
        <v>0.44643679189262642</v>
      </c>
      <c r="O89" s="25">
        <v>-0.17742062950187831</v>
      </c>
      <c r="P89" s="25">
        <v>1</v>
      </c>
      <c r="Q89" s="25"/>
      <c r="R89" s="25"/>
    </row>
    <row r="90" spans="1:18">
      <c r="A90">
        <v>19766401990.128944</v>
      </c>
      <c r="B90">
        <v>16533195751.507071</v>
      </c>
      <c r="C90">
        <v>16697791451.148945</v>
      </c>
      <c r="D90">
        <v>13282884310.138321</v>
      </c>
      <c r="E90">
        <v>7580010677.886445</v>
      </c>
      <c r="F90">
        <v>5257097210.7170706</v>
      </c>
      <c r="G90">
        <v>2882751466.1664453</v>
      </c>
      <c r="K90" s="25" t="s">
        <v>77</v>
      </c>
      <c r="L90" s="25">
        <v>0.96039057159437546</v>
      </c>
      <c r="M90" s="25">
        <v>0.97916343297749786</v>
      </c>
      <c r="N90" s="25">
        <v>0.99109006945847766</v>
      </c>
      <c r="O90" s="25">
        <v>0.68655151636531198</v>
      </c>
      <c r="P90" s="25">
        <v>0.36441626718903197</v>
      </c>
      <c r="Q90" s="25">
        <v>1</v>
      </c>
      <c r="R90" s="25"/>
    </row>
    <row r="91" spans="1:18" ht="13.5" thickBot="1">
      <c r="A91">
        <v>19964380777.420822</v>
      </c>
      <c r="B91">
        <v>16697791451.148945</v>
      </c>
      <c r="C91">
        <v>16867438465.880821</v>
      </c>
      <c r="D91">
        <v>13416986854.480196</v>
      </c>
      <c r="E91">
        <v>7653069811.2183199</v>
      </c>
      <c r="F91">
        <v>5306643492.4789457</v>
      </c>
      <c r="G91">
        <v>2909061686.6583204</v>
      </c>
      <c r="K91" s="26" t="s">
        <v>76</v>
      </c>
      <c r="L91" s="26">
        <v>0.97132945919211866</v>
      </c>
      <c r="M91" s="26">
        <v>0.99114919006720537</v>
      </c>
      <c r="N91" s="26">
        <v>0.99527348376478475</v>
      </c>
      <c r="O91" s="26">
        <v>0.66825660456217462</v>
      </c>
      <c r="P91" s="26">
        <v>0.41724514983494537</v>
      </c>
      <c r="Q91" s="26">
        <v>0.99395284623292546</v>
      </c>
      <c r="R91" s="26">
        <v>1</v>
      </c>
    </row>
    <row r="92" spans="1:18">
      <c r="A92">
        <v>15881022514.260195</v>
      </c>
      <c r="B92">
        <v>13282884310.138321</v>
      </c>
      <c r="C92">
        <v>13416986854.480196</v>
      </c>
      <c r="D92">
        <v>10672619323.769569</v>
      </c>
      <c r="E92">
        <v>6088451664.2176952</v>
      </c>
      <c r="F92">
        <v>4221925955.9483204</v>
      </c>
      <c r="G92">
        <v>2314527990.2976952</v>
      </c>
    </row>
    <row r="93" spans="1:18">
      <c r="A93">
        <v>9061651182.1583195</v>
      </c>
      <c r="B93">
        <v>7580010677.886445</v>
      </c>
      <c r="C93">
        <v>7653069811.2183199</v>
      </c>
      <c r="D93">
        <v>6088451664.2176952</v>
      </c>
      <c r="E93">
        <v>3478493847.5558205</v>
      </c>
      <c r="F93">
        <v>2414096986.0164452</v>
      </c>
      <c r="G93">
        <v>1324695988.3958204</v>
      </c>
    </row>
    <row r="94" spans="1:18">
      <c r="A94">
        <v>6284505888.5389452</v>
      </c>
      <c r="B94">
        <v>5257097210.7170706</v>
      </c>
      <c r="C94">
        <v>5306643492.4789457</v>
      </c>
      <c r="D94">
        <v>4221925955.9483204</v>
      </c>
      <c r="E94">
        <v>2414096986.0164452</v>
      </c>
      <c r="F94">
        <v>1676265644.0870702</v>
      </c>
      <c r="G94">
        <v>920420682.17644536</v>
      </c>
    </row>
    <row r="95" spans="1:18" ht="13.5" thickBot="1">
      <c r="A95">
        <v>3446115260.0383205</v>
      </c>
      <c r="B95">
        <v>2882751466.1664453</v>
      </c>
      <c r="C95">
        <v>2909061686.6583204</v>
      </c>
      <c r="D95">
        <v>2314527990.2976952</v>
      </c>
      <c r="E95">
        <v>1324695988.3958204</v>
      </c>
      <c r="F95">
        <v>920420682.17644536</v>
      </c>
      <c r="G95">
        <v>505953747.07582033</v>
      </c>
    </row>
    <row r="96" spans="1:18" ht="25.5">
      <c r="K96" s="27" t="s">
        <v>92</v>
      </c>
      <c r="L96" s="31" t="s">
        <v>81</v>
      </c>
      <c r="M96" s="31" t="s">
        <v>80</v>
      </c>
      <c r="N96" s="31" t="s">
        <v>79</v>
      </c>
      <c r="O96" s="31" t="s">
        <v>78</v>
      </c>
      <c r="P96" s="31" t="s">
        <v>77</v>
      </c>
      <c r="Q96" s="31" t="s">
        <v>76</v>
      </c>
    </row>
    <row r="97" spans="1:17">
      <c r="K97" s="25" t="s">
        <v>81</v>
      </c>
      <c r="L97" s="25">
        <v>1</v>
      </c>
      <c r="M97" s="25"/>
      <c r="N97" s="25"/>
      <c r="O97" s="25"/>
      <c r="P97" s="25"/>
      <c r="Q97" s="25"/>
    </row>
    <row r="98" spans="1:17">
      <c r="A98">
        <f t="array" ref="A98:G104">MMULT((MINVERSE(A89:G95)),A89:G95)</f>
        <v>1.0110621452331543</v>
      </c>
      <c r="B98">
        <v>9.2520713806152344E-3</v>
      </c>
      <c r="C98">
        <v>9.3407630920410156E-3</v>
      </c>
      <c r="D98">
        <v>7.4324607849121094E-3</v>
      </c>
      <c r="E98">
        <v>4.2448043823242188E-3</v>
      </c>
      <c r="F98">
        <v>2.9470920562744141E-3</v>
      </c>
      <c r="G98">
        <v>1.6170144081115723E-3</v>
      </c>
      <c r="K98" s="25" t="s">
        <v>80</v>
      </c>
      <c r="L98" s="25">
        <v>0.9915891780247823</v>
      </c>
      <c r="M98" s="25">
        <v>1</v>
      </c>
      <c r="N98" s="25"/>
      <c r="O98" s="25"/>
      <c r="P98" s="25"/>
      <c r="Q98" s="25"/>
    </row>
    <row r="99" spans="1:17">
      <c r="A99">
        <v>-1.6103744506835938E-2</v>
      </c>
      <c r="B99">
        <v>0.98651695251464844</v>
      </c>
      <c r="C99">
        <v>-1.3613700866699219E-2</v>
      </c>
      <c r="D99">
        <v>-1.0831832885742188E-2</v>
      </c>
      <c r="E99">
        <v>-6.18743896484375E-3</v>
      </c>
      <c r="F99">
        <v>-4.2982101440429688E-3</v>
      </c>
      <c r="G99">
        <v>-2.3591518402099609E-3</v>
      </c>
      <c r="K99" s="25" t="s">
        <v>79</v>
      </c>
      <c r="L99" s="25">
        <v>0.62063339255909644</v>
      </c>
      <c r="M99" s="25">
        <v>0.60426093988955787</v>
      </c>
      <c r="N99" s="25">
        <v>1</v>
      </c>
      <c r="O99" s="25"/>
      <c r="P99" s="25"/>
      <c r="Q99" s="25"/>
    </row>
    <row r="100" spans="1:17">
      <c r="A100">
        <v>-1.8999099731445313E-2</v>
      </c>
      <c r="B100">
        <v>-1.5911102294921875E-2</v>
      </c>
      <c r="C100">
        <v>0.98394012451171875</v>
      </c>
      <c r="D100">
        <v>-1.2774467468261719E-2</v>
      </c>
      <c r="E100">
        <v>-7.3027610778808594E-3</v>
      </c>
      <c r="F100">
        <v>-5.0587654113769531E-3</v>
      </c>
      <c r="G100">
        <v>-2.7768611907958984E-3</v>
      </c>
      <c r="K100" s="25" t="s">
        <v>78</v>
      </c>
      <c r="L100" s="25">
        <v>0.46474418760067454</v>
      </c>
      <c r="M100" s="25">
        <v>0.44643679189262642</v>
      </c>
      <c r="N100" s="25">
        <v>-0.17742062950187831</v>
      </c>
      <c r="O100" s="25">
        <v>1</v>
      </c>
      <c r="P100" s="25"/>
      <c r="Q100" s="25"/>
    </row>
    <row r="101" spans="1:17">
      <c r="A101">
        <v>2.7510643005371094E-2</v>
      </c>
      <c r="B101">
        <v>2.3014068603515625E-2</v>
      </c>
      <c r="C101">
        <v>2.3227691650390625E-2</v>
      </c>
      <c r="D101">
        <v>1.0184764862060547</v>
      </c>
      <c r="E101">
        <v>1.0556697845458984E-2</v>
      </c>
      <c r="F101">
        <v>7.3175430297851563E-3</v>
      </c>
      <c r="G101">
        <v>4.0180683135986328E-3</v>
      </c>
      <c r="K101" s="25" t="s">
        <v>77</v>
      </c>
      <c r="L101" s="25">
        <v>0.97916343297749786</v>
      </c>
      <c r="M101" s="25">
        <v>0.99109006945847766</v>
      </c>
      <c r="N101" s="25">
        <v>0.68655151636531198</v>
      </c>
      <c r="O101" s="25">
        <v>0.36441626718903197</v>
      </c>
      <c r="P101" s="25">
        <v>1</v>
      </c>
      <c r="Q101" s="25"/>
    </row>
    <row r="102" spans="1:17" ht="13.5" thickBot="1">
      <c r="A102">
        <v>-3.814697265625E-5</v>
      </c>
      <c r="B102">
        <v>-6.103515625E-5</v>
      </c>
      <c r="C102">
        <v>-4.57763671875E-5</v>
      </c>
      <c r="D102">
        <v>-3.814697265625E-5</v>
      </c>
      <c r="E102">
        <v>0.99995040893554688</v>
      </c>
      <c r="F102">
        <v>-7.62939453125E-6</v>
      </c>
      <c r="G102">
        <v>0</v>
      </c>
      <c r="K102" s="26" t="s">
        <v>76</v>
      </c>
      <c r="L102" s="26">
        <v>0.99114919006720537</v>
      </c>
      <c r="M102" s="26">
        <v>0.99527348376478475</v>
      </c>
      <c r="N102" s="26">
        <v>0.66825660456217462</v>
      </c>
      <c r="O102" s="26">
        <v>0.41724514983494537</v>
      </c>
      <c r="P102" s="26">
        <v>0.99395284623292546</v>
      </c>
      <c r="Q102" s="26">
        <v>1</v>
      </c>
    </row>
    <row r="103" spans="1:17">
      <c r="A103">
        <v>9.1552734375E-5</v>
      </c>
      <c r="B103">
        <v>8.392333984375E-5</v>
      </c>
      <c r="C103">
        <v>8.392333984375E-5</v>
      </c>
      <c r="D103">
        <v>8.392333984375E-5</v>
      </c>
      <c r="E103">
        <v>7.2479248046875E-5</v>
      </c>
      <c r="F103">
        <v>1.0000190734863281</v>
      </c>
      <c r="G103">
        <v>7.62939453125E-6</v>
      </c>
    </row>
    <row r="104" spans="1:17">
      <c r="A104">
        <v>-2.288818359375E-5</v>
      </c>
      <c r="B104">
        <v>-4.9591064453125E-5</v>
      </c>
      <c r="C104">
        <v>-1.1444091796875E-5</v>
      </c>
      <c r="D104">
        <v>-1.9073486328125E-5</v>
      </c>
      <c r="E104">
        <v>-9.5367431640625E-6</v>
      </c>
      <c r="F104">
        <v>1.9073486328125E-6</v>
      </c>
      <c r="G104">
        <v>0.99999713897705078</v>
      </c>
    </row>
    <row r="107" spans="1:17">
      <c r="A107">
        <f t="array" ref="A107">MDETERM(A98:G104)</f>
        <v>0.99996170099641601</v>
      </c>
    </row>
    <row r="108" spans="1:17">
      <c r="A108">
        <f>1-A107</f>
        <v>3.8299003583985858E-5</v>
      </c>
      <c r="B108">
        <f>A108/49</f>
        <v>7.8161231804052773E-7</v>
      </c>
    </row>
    <row r="109" spans="1:17">
      <c r="A109">
        <f>-LOG10(A108)</f>
        <v>4.4168125248200401</v>
      </c>
      <c r="B109">
        <f>-LOG10(B108)</f>
        <v>6.1070086048485539</v>
      </c>
    </row>
  </sheetData>
  <mergeCells count="1">
    <mergeCell ref="B69:G6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BO109"/>
  <sheetViews>
    <sheetView topLeftCell="G1" zoomScaleNormal="100" workbookViewId="0">
      <selection sqref="A1:G65536"/>
    </sheetView>
  </sheetViews>
  <sheetFormatPr defaultRowHeight="12.75"/>
  <cols>
    <col min="1" max="1" width="12.7109375" bestFit="1" customWidth="1"/>
    <col min="2" max="2" width="12.5703125" bestFit="1" customWidth="1"/>
    <col min="3" max="3" width="10.42578125" customWidth="1"/>
    <col min="4" max="4" width="12.28515625" bestFit="1" customWidth="1"/>
    <col min="5" max="5" width="11.28515625" bestFit="1" customWidth="1"/>
    <col min="6" max="6" width="10.140625" customWidth="1"/>
    <col min="7" max="7" width="11.140625" bestFit="1" customWidth="1"/>
    <col min="8" max="8" width="13.42578125" bestFit="1" customWidth="1"/>
    <col min="10" max="10" width="16.7109375" customWidth="1"/>
    <col min="11" max="11" width="14.5703125" customWidth="1"/>
    <col min="12" max="12" width="14.28515625" customWidth="1"/>
    <col min="13" max="13" width="12.7109375" customWidth="1"/>
    <col min="14" max="14" width="12.5703125" customWidth="1"/>
    <col min="15" max="15" width="12.42578125" customWidth="1"/>
    <col min="16" max="16" width="13.140625" customWidth="1"/>
    <col min="17" max="17" width="12" customWidth="1"/>
    <col min="18" max="18" width="13" customWidth="1"/>
    <col min="19" max="19" width="9.28515625" bestFit="1" customWidth="1"/>
    <col min="20" max="20" width="26.140625" bestFit="1" customWidth="1"/>
    <col min="22" max="22" width="20.42578125" customWidth="1"/>
    <col min="38" max="38" width="24" customWidth="1"/>
    <col min="39" max="39" width="19.140625" customWidth="1"/>
    <col min="40" max="40" width="26.140625" customWidth="1"/>
    <col min="41" max="41" width="15.140625" customWidth="1"/>
    <col min="42" max="42" width="15.5703125" customWidth="1"/>
    <col min="48" max="48" width="28.85546875" customWidth="1"/>
  </cols>
  <sheetData>
    <row r="1" spans="1:67" s="29" customFormat="1" ht="38.25">
      <c r="A1" s="30" t="s">
        <v>82</v>
      </c>
      <c r="B1" s="30" t="s">
        <v>81</v>
      </c>
      <c r="C1" s="30" t="s">
        <v>80</v>
      </c>
      <c r="D1" s="30" t="s">
        <v>79</v>
      </c>
      <c r="E1" s="30" t="s">
        <v>78</v>
      </c>
      <c r="F1" s="30" t="s">
        <v>77</v>
      </c>
      <c r="G1" s="30" t="s">
        <v>76</v>
      </c>
      <c r="I1" t="s">
        <v>0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</row>
    <row r="2" spans="1:67" ht="13.5" thickBot="1">
      <c r="A2" s="3">
        <v>60323</v>
      </c>
      <c r="B2" s="3">
        <v>83</v>
      </c>
      <c r="C2" s="4">
        <v>234289</v>
      </c>
      <c r="D2" s="4">
        <v>2356</v>
      </c>
      <c r="E2" s="4">
        <v>1590</v>
      </c>
      <c r="F2" s="4">
        <v>107608</v>
      </c>
      <c r="G2" s="4">
        <v>1947</v>
      </c>
    </row>
    <row r="3" spans="1:67">
      <c r="A3" s="3">
        <v>61122</v>
      </c>
      <c r="B3" s="3">
        <v>88.5</v>
      </c>
      <c r="C3" s="4">
        <v>259426</v>
      </c>
      <c r="D3" s="4">
        <v>2325</v>
      </c>
      <c r="E3" s="4">
        <v>1456</v>
      </c>
      <c r="F3" s="4">
        <v>108632</v>
      </c>
      <c r="G3" s="4">
        <v>1948</v>
      </c>
      <c r="I3" s="28" t="s">
        <v>1</v>
      </c>
      <c r="J3" s="28"/>
    </row>
    <row r="4" spans="1:67">
      <c r="A4" s="3">
        <v>60171</v>
      </c>
      <c r="B4" s="3">
        <v>88.2</v>
      </c>
      <c r="C4" s="4">
        <v>258054</v>
      </c>
      <c r="D4" s="4">
        <v>3682</v>
      </c>
      <c r="E4" s="4">
        <v>1616</v>
      </c>
      <c r="F4" s="4">
        <v>109773</v>
      </c>
      <c r="G4" s="4">
        <v>1949</v>
      </c>
      <c r="I4" s="25" t="s">
        <v>2</v>
      </c>
      <c r="J4" s="25">
        <v>0.99773694157192339</v>
      </c>
    </row>
    <row r="5" spans="1:67">
      <c r="A5" s="3">
        <v>61187</v>
      </c>
      <c r="B5" s="3">
        <v>89.5</v>
      </c>
      <c r="C5" s="4">
        <v>284599</v>
      </c>
      <c r="D5" s="4">
        <v>3351</v>
      </c>
      <c r="E5" s="4">
        <v>1650</v>
      </c>
      <c r="F5" s="4">
        <v>110929</v>
      </c>
      <c r="G5" s="4">
        <v>1950</v>
      </c>
      <c r="I5" s="25" t="s">
        <v>3</v>
      </c>
      <c r="J5" s="25">
        <v>0.99547900457729566</v>
      </c>
    </row>
    <row r="6" spans="1:67">
      <c r="A6" s="3">
        <v>63221</v>
      </c>
      <c r="B6" s="3">
        <v>96.2</v>
      </c>
      <c r="C6" s="4">
        <v>328975</v>
      </c>
      <c r="D6" s="4">
        <v>2099</v>
      </c>
      <c r="E6" s="4">
        <v>3099</v>
      </c>
      <c r="F6" s="4">
        <v>112075</v>
      </c>
      <c r="G6" s="4">
        <v>1951</v>
      </c>
      <c r="I6" s="25" t="s">
        <v>4</v>
      </c>
      <c r="J6" s="25">
        <v>0.99246500762882606</v>
      </c>
    </row>
    <row r="7" spans="1:67">
      <c r="A7" s="3">
        <v>63639</v>
      </c>
      <c r="B7" s="3">
        <v>98.1</v>
      </c>
      <c r="C7" s="4">
        <v>346999</v>
      </c>
      <c r="D7" s="4">
        <v>1932</v>
      </c>
      <c r="E7" s="4">
        <v>3594</v>
      </c>
      <c r="F7" s="4">
        <v>113270</v>
      </c>
      <c r="G7" s="4">
        <v>1952</v>
      </c>
      <c r="I7" s="25" t="s">
        <v>5</v>
      </c>
      <c r="J7" s="25">
        <v>304.85407356196481</v>
      </c>
    </row>
    <row r="8" spans="1:67" ht="13.5" thickBot="1">
      <c r="A8" s="3">
        <v>64989</v>
      </c>
      <c r="B8" s="3">
        <v>99</v>
      </c>
      <c r="C8" s="4">
        <v>365385</v>
      </c>
      <c r="D8" s="4">
        <v>1870</v>
      </c>
      <c r="E8" s="4">
        <v>3547</v>
      </c>
      <c r="F8" s="4">
        <v>115094</v>
      </c>
      <c r="G8" s="4">
        <v>1953</v>
      </c>
      <c r="I8" s="26" t="s">
        <v>6</v>
      </c>
      <c r="J8" s="26">
        <v>16</v>
      </c>
    </row>
    <row r="9" spans="1:67">
      <c r="A9" s="3">
        <v>63761</v>
      </c>
      <c r="B9" s="3">
        <v>100</v>
      </c>
      <c r="C9" s="4">
        <v>363112</v>
      </c>
      <c r="D9" s="4">
        <v>3578</v>
      </c>
      <c r="E9" s="4">
        <v>3350</v>
      </c>
      <c r="F9" s="4">
        <v>116219</v>
      </c>
      <c r="G9" s="4">
        <v>1954</v>
      </c>
    </row>
    <row r="10" spans="1:67" ht="13.5" thickBot="1">
      <c r="A10" s="3">
        <v>66019</v>
      </c>
      <c r="B10" s="3">
        <v>101.2</v>
      </c>
      <c r="C10" s="4">
        <v>397469</v>
      </c>
      <c r="D10" s="4">
        <v>2904</v>
      </c>
      <c r="E10" s="4">
        <v>3048</v>
      </c>
      <c r="F10" s="4">
        <v>117388</v>
      </c>
      <c r="G10" s="4">
        <v>1955</v>
      </c>
      <c r="I10" t="s">
        <v>7</v>
      </c>
    </row>
    <row r="11" spans="1:67">
      <c r="A11" s="3">
        <v>67857</v>
      </c>
      <c r="B11" s="3">
        <v>104.6</v>
      </c>
      <c r="C11" s="4">
        <v>419180</v>
      </c>
      <c r="D11" s="4">
        <v>2822</v>
      </c>
      <c r="E11" s="4">
        <v>2857</v>
      </c>
      <c r="F11" s="4">
        <v>118734</v>
      </c>
      <c r="G11" s="4">
        <v>1956</v>
      </c>
      <c r="I11" s="27"/>
      <c r="J11" s="27" t="s">
        <v>12</v>
      </c>
      <c r="K11" s="27" t="s">
        <v>13</v>
      </c>
      <c r="L11" s="27" t="s">
        <v>14</v>
      </c>
      <c r="M11" s="27" t="s">
        <v>15</v>
      </c>
      <c r="N11" s="27" t="s">
        <v>16</v>
      </c>
    </row>
    <row r="12" spans="1:67">
      <c r="A12" s="3">
        <v>68169</v>
      </c>
      <c r="B12" s="3">
        <v>108.4</v>
      </c>
      <c r="C12" s="4">
        <v>442769</v>
      </c>
      <c r="D12" s="4">
        <v>2936</v>
      </c>
      <c r="E12" s="4">
        <v>2798</v>
      </c>
      <c r="F12" s="4">
        <v>120445</v>
      </c>
      <c r="G12" s="4">
        <v>1957</v>
      </c>
      <c r="I12" s="25" t="s">
        <v>8</v>
      </c>
      <c r="J12" s="25">
        <v>6</v>
      </c>
      <c r="K12" s="25">
        <v>184172401.9444941</v>
      </c>
      <c r="L12" s="25">
        <v>30695400.324082348</v>
      </c>
      <c r="M12" s="25">
        <v>330.28533923458826</v>
      </c>
      <c r="N12" s="25">
        <v>4.9840305291321038E-10</v>
      </c>
    </row>
    <row r="13" spans="1:67">
      <c r="A13" s="3">
        <v>66513</v>
      </c>
      <c r="B13" s="3">
        <v>110.8</v>
      </c>
      <c r="C13" s="4">
        <v>444546</v>
      </c>
      <c r="D13" s="4">
        <v>4681</v>
      </c>
      <c r="E13" s="4">
        <v>2637</v>
      </c>
      <c r="F13" s="4">
        <v>121950</v>
      </c>
      <c r="G13" s="4">
        <v>1958</v>
      </c>
      <c r="I13" s="25" t="s">
        <v>9</v>
      </c>
      <c r="J13" s="25">
        <v>9</v>
      </c>
      <c r="K13" s="25">
        <v>836424.05550591485</v>
      </c>
      <c r="L13" s="25">
        <v>92936.006167323867</v>
      </c>
      <c r="M13" s="25"/>
      <c r="N13" s="25"/>
    </row>
    <row r="14" spans="1:67" ht="13.5" thickBot="1">
      <c r="A14" s="3">
        <v>68655</v>
      </c>
      <c r="B14" s="3">
        <v>112.6</v>
      </c>
      <c r="C14" s="4">
        <v>482704</v>
      </c>
      <c r="D14" s="4">
        <v>3813</v>
      </c>
      <c r="E14" s="4">
        <v>2552</v>
      </c>
      <c r="F14" s="4">
        <v>123366</v>
      </c>
      <c r="G14" s="4">
        <v>1959</v>
      </c>
      <c r="I14" s="26" t="s">
        <v>10</v>
      </c>
      <c r="J14" s="26">
        <v>15</v>
      </c>
      <c r="K14" s="26">
        <v>185008826</v>
      </c>
      <c r="L14" s="26"/>
      <c r="M14" s="26"/>
      <c r="N14" s="26"/>
    </row>
    <row r="15" spans="1:67" ht="13.5" thickBot="1">
      <c r="A15" s="3">
        <v>69564</v>
      </c>
      <c r="B15" s="3">
        <v>114.2</v>
      </c>
      <c r="C15" s="4">
        <v>502601</v>
      </c>
      <c r="D15" s="4">
        <v>3931</v>
      </c>
      <c r="E15" s="4">
        <v>2514</v>
      </c>
      <c r="F15" s="4">
        <v>125368</v>
      </c>
      <c r="G15" s="4">
        <v>1960</v>
      </c>
    </row>
    <row r="16" spans="1:67">
      <c r="A16" s="3">
        <v>69331</v>
      </c>
      <c r="B16" s="3">
        <v>115.7</v>
      </c>
      <c r="C16" s="4">
        <v>518173</v>
      </c>
      <c r="D16" s="4">
        <v>4806</v>
      </c>
      <c r="E16" s="4">
        <v>2572</v>
      </c>
      <c r="F16" s="4">
        <v>127852</v>
      </c>
      <c r="G16" s="4">
        <v>1961</v>
      </c>
      <c r="I16" s="27"/>
      <c r="J16" s="27" t="s">
        <v>17</v>
      </c>
      <c r="K16" s="27" t="s">
        <v>5</v>
      </c>
      <c r="L16" s="27" t="s">
        <v>18</v>
      </c>
      <c r="M16" s="27" t="s">
        <v>19</v>
      </c>
      <c r="N16" s="27" t="s">
        <v>20</v>
      </c>
      <c r="O16" s="27" t="s">
        <v>21</v>
      </c>
      <c r="P16" s="27" t="s">
        <v>22</v>
      </c>
      <c r="Q16" s="27" t="s">
        <v>23</v>
      </c>
    </row>
    <row r="17" spans="1:17">
      <c r="A17" s="3">
        <v>70551</v>
      </c>
      <c r="B17" s="3">
        <v>116.9</v>
      </c>
      <c r="C17" s="4">
        <v>554894</v>
      </c>
      <c r="D17" s="4">
        <v>4007</v>
      </c>
      <c r="E17" s="4">
        <v>2827</v>
      </c>
      <c r="F17" s="4">
        <v>130081</v>
      </c>
      <c r="G17" s="4">
        <v>1962</v>
      </c>
      <c r="I17" s="25" t="s">
        <v>11</v>
      </c>
      <c r="J17" s="25">
        <v>-3482258.6345958137</v>
      </c>
      <c r="K17" s="25">
        <v>890420.38360737229</v>
      </c>
      <c r="L17" s="25">
        <v>-3.9108029181543347</v>
      </c>
      <c r="M17" s="25">
        <v>3.5604036532133083E-3</v>
      </c>
      <c r="N17" s="25">
        <v>-5496529.4791568983</v>
      </c>
      <c r="O17" s="25">
        <v>-1467987.7900347288</v>
      </c>
      <c r="P17" s="25">
        <v>-5496529.4791568983</v>
      </c>
      <c r="Q17" s="25">
        <v>-1467987.7900347288</v>
      </c>
    </row>
    <row r="18" spans="1:17">
      <c r="I18" s="25" t="s">
        <v>81</v>
      </c>
      <c r="J18" s="25">
        <v>15.061872271372639</v>
      </c>
      <c r="K18" s="25">
        <v>84.914925774766871</v>
      </c>
      <c r="L18" s="25">
        <v>0.17737602822999099</v>
      </c>
      <c r="M18" s="25">
        <v>0.86314083281932064</v>
      </c>
      <c r="N18" s="25">
        <v>-177.0290349057947</v>
      </c>
      <c r="O18" s="25">
        <v>207.15277944853997</v>
      </c>
      <c r="P18" s="25">
        <v>-177.0290349057947</v>
      </c>
      <c r="Q18" s="25">
        <v>207.15277944853997</v>
      </c>
    </row>
    <row r="19" spans="1:17">
      <c r="I19" s="25" t="s">
        <v>80</v>
      </c>
      <c r="J19" s="25">
        <v>-3.5819179292590791E-2</v>
      </c>
      <c r="K19" s="25">
        <v>3.3491007772243196E-2</v>
      </c>
      <c r="L19" s="25">
        <v>-1.0695163172210407</v>
      </c>
      <c r="M19" s="25">
        <v>0.31268106114344818</v>
      </c>
      <c r="N19" s="25">
        <v>-0.11158110225901784</v>
      </c>
      <c r="O19" s="25">
        <v>3.9942743673836253E-2</v>
      </c>
      <c r="P19" s="25">
        <v>-0.11158110225901784</v>
      </c>
      <c r="Q19" s="25">
        <v>3.9942743673836253E-2</v>
      </c>
    </row>
    <row r="20" spans="1:17">
      <c r="A20" s="1">
        <f>AVERAGE(A2:A17)</f>
        <v>65317</v>
      </c>
      <c r="B20" s="1">
        <f t="shared" ref="B20:G20" si="0">AVERAGE(B2:B17)</f>
        <v>101.68125000000001</v>
      </c>
      <c r="C20" s="1">
        <f t="shared" si="0"/>
        <v>387698.4375</v>
      </c>
      <c r="D20" s="1">
        <f t="shared" si="0"/>
        <v>3193.3125</v>
      </c>
      <c r="E20" s="1">
        <f t="shared" si="0"/>
        <v>2606.6875</v>
      </c>
      <c r="F20" s="1">
        <f t="shared" si="0"/>
        <v>117424</v>
      </c>
      <c r="G20" s="1">
        <f t="shared" si="0"/>
        <v>1954.5</v>
      </c>
      <c r="I20" s="25" t="s">
        <v>79</v>
      </c>
      <c r="J20" s="25">
        <v>-2.0202298038168212</v>
      </c>
      <c r="K20" s="25">
        <v>0.48839968165169928</v>
      </c>
      <c r="L20" s="25">
        <v>-4.1364273559407065</v>
      </c>
      <c r="M20" s="25">
        <v>2.5350917305239965E-3</v>
      </c>
      <c r="N20" s="25">
        <v>-3.1250666397149116</v>
      </c>
      <c r="O20" s="25">
        <v>-0.91539296791873048</v>
      </c>
      <c r="P20" s="25">
        <v>-3.1250666397149116</v>
      </c>
      <c r="Q20" s="25">
        <v>-0.91539296791873048</v>
      </c>
    </row>
    <row r="21" spans="1:17">
      <c r="I21" s="25" t="s">
        <v>78</v>
      </c>
      <c r="J21" s="25">
        <v>-1.0332268671735905</v>
      </c>
      <c r="K21" s="25">
        <v>0.21427416316167516</v>
      </c>
      <c r="L21" s="25">
        <v>-4.8219853104454558</v>
      </c>
      <c r="M21" s="25">
        <v>9.4436676394360605E-4</v>
      </c>
      <c r="N21" s="25">
        <v>-1.5179486991814282</v>
      </c>
      <c r="O21" s="25">
        <v>-0.54850503516575277</v>
      </c>
      <c r="P21" s="25">
        <v>-1.5179486991814282</v>
      </c>
      <c r="Q21" s="25">
        <v>-0.54850503516575277</v>
      </c>
    </row>
    <row r="22" spans="1:17">
      <c r="I22" s="25" t="s">
        <v>77</v>
      </c>
      <c r="J22" s="25">
        <v>-5.1104105653581769E-2</v>
      </c>
      <c r="K22" s="25">
        <v>0.22607320006937051</v>
      </c>
      <c r="L22" s="25">
        <v>-0.22605114466420825</v>
      </c>
      <c r="M22" s="25">
        <v>0.82621179577646942</v>
      </c>
      <c r="N22" s="25">
        <v>-0.56251721346171679</v>
      </c>
      <c r="O22" s="25">
        <v>0.46030900215455323</v>
      </c>
      <c r="P22" s="25">
        <v>-0.56251721346171679</v>
      </c>
      <c r="Q22" s="25">
        <v>0.46030900215455323</v>
      </c>
    </row>
    <row r="23" spans="1:17" ht="13.5" thickBot="1">
      <c r="A23" s="1">
        <f>A2-$A$20</f>
        <v>-4994</v>
      </c>
      <c r="B23" s="1">
        <f>B2-$B$20</f>
        <v>-18.681250000000006</v>
      </c>
      <c r="C23" s="1">
        <f>C2-$C$20</f>
        <v>-153409.4375</v>
      </c>
      <c r="D23" s="1">
        <f>D2-$D$20</f>
        <v>-837.3125</v>
      </c>
      <c r="E23" s="1">
        <f>E2-$E$20</f>
        <v>-1016.6875</v>
      </c>
      <c r="F23" s="1">
        <f>F2-$F$20</f>
        <v>-9816</v>
      </c>
      <c r="G23" s="2">
        <f>G2-$G$20</f>
        <v>-7.5</v>
      </c>
      <c r="I23" s="26" t="s">
        <v>76</v>
      </c>
      <c r="J23" s="26">
        <v>1829.1514646135495</v>
      </c>
      <c r="K23" s="26">
        <v>455.47849914221194</v>
      </c>
      <c r="L23" s="26">
        <v>4.0158898127097808</v>
      </c>
      <c r="M23" s="26">
        <v>3.0368033353043908E-3</v>
      </c>
      <c r="N23" s="26">
        <v>798.7875173848347</v>
      </c>
      <c r="O23" s="26">
        <v>2859.5154118422643</v>
      </c>
      <c r="P23" s="26">
        <v>798.7875173848347</v>
      </c>
      <c r="Q23" s="26">
        <v>2859.5154118422643</v>
      </c>
    </row>
    <row r="24" spans="1:17">
      <c r="A24" s="1">
        <f t="shared" ref="A24:A36" si="1">A3-$A$20</f>
        <v>-4195</v>
      </c>
      <c r="B24" s="1">
        <f t="shared" ref="B24:B36" si="2">B3-$B$20</f>
        <v>-13.181250000000006</v>
      </c>
      <c r="C24" s="1">
        <f t="shared" ref="C24:C36" si="3">C3-$C$20</f>
        <v>-128272.4375</v>
      </c>
      <c r="D24" s="1">
        <f t="shared" ref="D24:D36" si="4">D3-$D$20</f>
        <v>-868.3125</v>
      </c>
      <c r="E24" s="1">
        <f t="shared" ref="E24:E36" si="5">E3-$E$20</f>
        <v>-1150.6875</v>
      </c>
      <c r="F24" s="1">
        <f t="shared" ref="F24:F36" si="6">F3-$F$20</f>
        <v>-8792</v>
      </c>
      <c r="G24" s="2">
        <f t="shared" ref="G24:G36" si="7">G3-$G$20</f>
        <v>-6.5</v>
      </c>
    </row>
    <row r="25" spans="1:17">
      <c r="A25" s="1">
        <f t="shared" si="1"/>
        <v>-5146</v>
      </c>
      <c r="B25" s="1">
        <f t="shared" si="2"/>
        <v>-13.481250000000003</v>
      </c>
      <c r="C25" s="1">
        <f t="shared" si="3"/>
        <v>-129644.4375</v>
      </c>
      <c r="D25" s="1">
        <f t="shared" si="4"/>
        <v>488.6875</v>
      </c>
      <c r="E25" s="1">
        <f t="shared" si="5"/>
        <v>-990.6875</v>
      </c>
      <c r="F25" s="1">
        <f t="shared" si="6"/>
        <v>-7651</v>
      </c>
      <c r="G25" s="2">
        <f t="shared" si="7"/>
        <v>-5.5</v>
      </c>
    </row>
    <row r="26" spans="1:17">
      <c r="A26" s="1">
        <f t="shared" si="1"/>
        <v>-4130</v>
      </c>
      <c r="B26" s="1">
        <f t="shared" si="2"/>
        <v>-12.181250000000006</v>
      </c>
      <c r="C26" s="1">
        <f t="shared" si="3"/>
        <v>-103099.4375</v>
      </c>
      <c r="D26" s="1">
        <f t="shared" si="4"/>
        <v>157.6875</v>
      </c>
      <c r="E26" s="1">
        <f t="shared" si="5"/>
        <v>-956.6875</v>
      </c>
      <c r="F26" s="1">
        <f t="shared" si="6"/>
        <v>-6495</v>
      </c>
      <c r="G26" s="2">
        <f t="shared" si="7"/>
        <v>-4.5</v>
      </c>
    </row>
    <row r="27" spans="1:17">
      <c r="A27" s="1">
        <f t="shared" si="1"/>
        <v>-2096</v>
      </c>
      <c r="B27" s="1">
        <f t="shared" si="2"/>
        <v>-5.4812500000000028</v>
      </c>
      <c r="C27" s="1">
        <f t="shared" si="3"/>
        <v>-58723.4375</v>
      </c>
      <c r="D27" s="1">
        <f t="shared" si="4"/>
        <v>-1094.3125</v>
      </c>
      <c r="E27" s="1">
        <f t="shared" si="5"/>
        <v>492.3125</v>
      </c>
      <c r="F27" s="1">
        <f t="shared" si="6"/>
        <v>-5349</v>
      </c>
      <c r="G27" s="2">
        <f t="shared" si="7"/>
        <v>-3.5</v>
      </c>
      <c r="I27" t="s">
        <v>30</v>
      </c>
      <c r="N27" t="s">
        <v>54</v>
      </c>
    </row>
    <row r="28" spans="1:17" ht="13.5" thickBot="1">
      <c r="A28" s="1">
        <f t="shared" si="1"/>
        <v>-1678</v>
      </c>
      <c r="B28" s="1">
        <f t="shared" si="2"/>
        <v>-3.5812500000000114</v>
      </c>
      <c r="C28" s="1">
        <f t="shared" si="3"/>
        <v>-40699.4375</v>
      </c>
      <c r="D28" s="1">
        <f t="shared" si="4"/>
        <v>-1261.3125</v>
      </c>
      <c r="E28" s="1">
        <f t="shared" si="5"/>
        <v>987.3125</v>
      </c>
      <c r="F28" s="1">
        <f t="shared" si="6"/>
        <v>-4154</v>
      </c>
      <c r="G28" s="2">
        <f t="shared" si="7"/>
        <v>-2.5</v>
      </c>
    </row>
    <row r="29" spans="1:17">
      <c r="A29" s="1">
        <f t="shared" si="1"/>
        <v>-328</v>
      </c>
      <c r="B29" s="1">
        <f t="shared" si="2"/>
        <v>-2.6812500000000057</v>
      </c>
      <c r="C29" s="1">
        <f t="shared" si="3"/>
        <v>-22313.4375</v>
      </c>
      <c r="D29" s="1">
        <f t="shared" si="4"/>
        <v>-1323.3125</v>
      </c>
      <c r="E29" s="1">
        <f t="shared" si="5"/>
        <v>940.3125</v>
      </c>
      <c r="F29" s="1">
        <f t="shared" si="6"/>
        <v>-2330</v>
      </c>
      <c r="G29" s="2">
        <f t="shared" si="7"/>
        <v>-1.5</v>
      </c>
      <c r="I29" s="27" t="s">
        <v>31</v>
      </c>
      <c r="J29" s="27" t="s">
        <v>93</v>
      </c>
      <c r="K29" s="27" t="s">
        <v>33</v>
      </c>
      <c r="L29" s="27" t="s">
        <v>94</v>
      </c>
      <c r="N29" s="27" t="s">
        <v>55</v>
      </c>
      <c r="O29" s="27" t="s">
        <v>82</v>
      </c>
    </row>
    <row r="30" spans="1:17">
      <c r="A30" s="1">
        <f t="shared" si="1"/>
        <v>-1556</v>
      </c>
      <c r="B30" s="1">
        <f t="shared" si="2"/>
        <v>-1.6812500000000057</v>
      </c>
      <c r="C30" s="1">
        <f t="shared" si="3"/>
        <v>-24586.4375</v>
      </c>
      <c r="D30" s="1">
        <f t="shared" si="4"/>
        <v>384.6875</v>
      </c>
      <c r="E30" s="1">
        <f t="shared" si="5"/>
        <v>743.3125</v>
      </c>
      <c r="F30" s="1">
        <f t="shared" si="6"/>
        <v>-1205</v>
      </c>
      <c r="G30" s="2">
        <f t="shared" si="7"/>
        <v>-0.5</v>
      </c>
      <c r="I30" s="25">
        <v>1</v>
      </c>
      <c r="J30" s="25">
        <v>60055.659970239736</v>
      </c>
      <c r="K30" s="25">
        <v>267.34002976026386</v>
      </c>
      <c r="L30" s="25">
        <v>1.1321301707160605</v>
      </c>
      <c r="N30" s="25">
        <v>3.125</v>
      </c>
      <c r="O30" s="25">
        <v>60171</v>
      </c>
    </row>
    <row r="31" spans="1:17">
      <c r="A31" s="1">
        <f t="shared" si="1"/>
        <v>702</v>
      </c>
      <c r="B31" s="1">
        <f t="shared" si="2"/>
        <v>-0.48125000000000284</v>
      </c>
      <c r="C31" s="1">
        <f t="shared" si="3"/>
        <v>9770.5625</v>
      </c>
      <c r="D31" s="1">
        <f t="shared" si="4"/>
        <v>-289.3125</v>
      </c>
      <c r="E31" s="1">
        <f t="shared" si="5"/>
        <v>441.3125</v>
      </c>
      <c r="F31" s="1">
        <f t="shared" si="6"/>
        <v>-36</v>
      </c>
      <c r="G31" s="2">
        <f t="shared" si="7"/>
        <v>0.5</v>
      </c>
      <c r="I31" s="25">
        <v>2</v>
      </c>
      <c r="J31" s="25">
        <v>61216.013942398597</v>
      </c>
      <c r="K31" s="25">
        <v>-94.013942398596555</v>
      </c>
      <c r="L31" s="25">
        <v>-0.39812975540123596</v>
      </c>
      <c r="N31" s="25">
        <v>9.375</v>
      </c>
      <c r="O31" s="25">
        <v>60323</v>
      </c>
    </row>
    <row r="32" spans="1:17">
      <c r="A32" s="1">
        <f t="shared" si="1"/>
        <v>2540</v>
      </c>
      <c r="B32" s="1">
        <f t="shared" si="2"/>
        <v>2.9187499999999886</v>
      </c>
      <c r="C32" s="1">
        <f t="shared" si="3"/>
        <v>31481.5625</v>
      </c>
      <c r="D32" s="1">
        <f t="shared" si="4"/>
        <v>-371.3125</v>
      </c>
      <c r="E32" s="1">
        <f t="shared" si="5"/>
        <v>250.3125</v>
      </c>
      <c r="F32" s="1">
        <f t="shared" si="6"/>
        <v>1310</v>
      </c>
      <c r="G32" s="2">
        <f t="shared" si="7"/>
        <v>1.5</v>
      </c>
      <c r="I32" s="25">
        <v>3</v>
      </c>
      <c r="J32" s="25">
        <v>60124.712832241785</v>
      </c>
      <c r="K32" s="25">
        <v>46.287167758215219</v>
      </c>
      <c r="L32" s="25">
        <v>0.19601665782360914</v>
      </c>
      <c r="N32" s="25">
        <v>15.625</v>
      </c>
      <c r="O32" s="25">
        <v>61122</v>
      </c>
    </row>
    <row r="33" spans="1:15">
      <c r="A33" s="1">
        <f t="shared" si="1"/>
        <v>2852</v>
      </c>
      <c r="B33" s="1">
        <f t="shared" si="2"/>
        <v>6.71875</v>
      </c>
      <c r="C33" s="1">
        <f t="shared" si="3"/>
        <v>55070.5625</v>
      </c>
      <c r="D33" s="1">
        <f t="shared" si="4"/>
        <v>-257.3125</v>
      </c>
      <c r="E33" s="1">
        <f t="shared" si="5"/>
        <v>191.3125</v>
      </c>
      <c r="F33" s="1">
        <f t="shared" si="6"/>
        <v>3021</v>
      </c>
      <c r="G33" s="2">
        <f t="shared" si="7"/>
        <v>2.5</v>
      </c>
      <c r="I33" s="25">
        <v>4</v>
      </c>
      <c r="J33" s="25">
        <v>61597.114621931221</v>
      </c>
      <c r="K33" s="25">
        <v>-410.11462193122134</v>
      </c>
      <c r="L33" s="25">
        <v>-1.7367512727387227</v>
      </c>
      <c r="N33" s="25">
        <v>21.875</v>
      </c>
      <c r="O33" s="25">
        <v>61187</v>
      </c>
    </row>
    <row r="34" spans="1:15">
      <c r="A34" s="1">
        <f t="shared" si="1"/>
        <v>1196</v>
      </c>
      <c r="B34" s="1">
        <f t="shared" si="2"/>
        <v>9.1187499999999915</v>
      </c>
      <c r="C34" s="1">
        <f t="shared" si="3"/>
        <v>56847.5625</v>
      </c>
      <c r="D34" s="1">
        <f t="shared" si="4"/>
        <v>1487.6875</v>
      </c>
      <c r="E34" s="1">
        <f t="shared" si="5"/>
        <v>30.3125</v>
      </c>
      <c r="F34" s="1">
        <f t="shared" si="6"/>
        <v>4526</v>
      </c>
      <c r="G34" s="2">
        <f t="shared" si="7"/>
        <v>3.5</v>
      </c>
      <c r="I34" s="25">
        <v>5</v>
      </c>
      <c r="J34" s="25">
        <v>62911.285409239586</v>
      </c>
      <c r="K34" s="25">
        <v>309.71459076041356</v>
      </c>
      <c r="L34" s="25">
        <v>1.3115777417443786</v>
      </c>
      <c r="N34" s="25">
        <v>28.125</v>
      </c>
      <c r="O34" s="25">
        <v>63221</v>
      </c>
    </row>
    <row r="35" spans="1:15">
      <c r="A35" s="1">
        <f t="shared" si="1"/>
        <v>3338</v>
      </c>
      <c r="B35" s="1">
        <f t="shared" si="2"/>
        <v>10.918749999999989</v>
      </c>
      <c r="C35" s="1">
        <f t="shared" si="3"/>
        <v>95005.5625</v>
      </c>
      <c r="D35" s="1">
        <f t="shared" si="4"/>
        <v>619.6875</v>
      </c>
      <c r="E35" s="1">
        <f t="shared" si="5"/>
        <v>-54.6875</v>
      </c>
      <c r="F35" s="1">
        <f t="shared" si="6"/>
        <v>5942</v>
      </c>
      <c r="G35" s="2">
        <f t="shared" si="7"/>
        <v>4.5</v>
      </c>
      <c r="I35" s="25">
        <v>6</v>
      </c>
      <c r="J35" s="25">
        <v>63888.31121532945</v>
      </c>
      <c r="K35" s="25">
        <v>-249.31121532944962</v>
      </c>
      <c r="L35" s="25">
        <v>-1.0557818409217183</v>
      </c>
      <c r="N35" s="25">
        <v>34.375</v>
      </c>
      <c r="O35" s="25">
        <v>63639</v>
      </c>
    </row>
    <row r="36" spans="1:15">
      <c r="A36" s="1">
        <f t="shared" si="1"/>
        <v>4247</v>
      </c>
      <c r="B36" s="1">
        <f t="shared" si="2"/>
        <v>12.518749999999997</v>
      </c>
      <c r="C36" s="1">
        <f t="shared" si="3"/>
        <v>114902.5625</v>
      </c>
      <c r="D36" s="1">
        <f t="shared" si="4"/>
        <v>737.6875</v>
      </c>
      <c r="E36" s="1">
        <f t="shared" si="5"/>
        <v>-92.6875</v>
      </c>
      <c r="F36" s="1">
        <f t="shared" si="6"/>
        <v>7944</v>
      </c>
      <c r="G36" s="2">
        <f t="shared" si="7"/>
        <v>5.5</v>
      </c>
      <c r="I36" s="25">
        <v>7</v>
      </c>
      <c r="J36" s="25">
        <v>65153.048956395593</v>
      </c>
      <c r="K36" s="25">
        <v>-164.04895639559254</v>
      </c>
      <c r="L36" s="25">
        <v>-0.69471366924168343</v>
      </c>
      <c r="N36" s="25">
        <v>40.625</v>
      </c>
      <c r="O36" s="25">
        <v>63761</v>
      </c>
    </row>
    <row r="37" spans="1:15">
      <c r="A37" s="1">
        <f>A16-$A$20</f>
        <v>4014</v>
      </c>
      <c r="B37" s="1">
        <f>B16-$B$20</f>
        <v>14.018749999999997</v>
      </c>
      <c r="C37" s="1">
        <f>C16-$C$20</f>
        <v>130474.5625</v>
      </c>
      <c r="D37" s="1">
        <f>D16-$D$20</f>
        <v>1612.6875</v>
      </c>
      <c r="E37" s="1">
        <f>E16-$E$20</f>
        <v>-34.6875</v>
      </c>
      <c r="F37" s="1">
        <f>F16-$F$20</f>
        <v>10428</v>
      </c>
      <c r="G37" s="2">
        <f>G16-$G$20</f>
        <v>6.5</v>
      </c>
      <c r="I37" s="25">
        <v>8</v>
      </c>
      <c r="J37" s="25">
        <v>63774.180356866214</v>
      </c>
      <c r="K37" s="25">
        <v>-13.180356866214424</v>
      </c>
      <c r="L37" s="25">
        <v>-5.5816106859968087E-2</v>
      </c>
      <c r="N37" s="25">
        <v>46.875</v>
      </c>
      <c r="O37" s="25">
        <v>64989</v>
      </c>
    </row>
    <row r="38" spans="1:15">
      <c r="A38" s="1">
        <f>A17-$A$20</f>
        <v>5234</v>
      </c>
      <c r="B38" s="1">
        <f>B17-$B$20</f>
        <v>15.21875</v>
      </c>
      <c r="C38" s="1">
        <f>C17-$C$20</f>
        <v>167195.5625</v>
      </c>
      <c r="D38" s="1">
        <f>D17-$D$20</f>
        <v>813.6875</v>
      </c>
      <c r="E38" s="1">
        <f>E17-$E$20</f>
        <v>220.3125</v>
      </c>
      <c r="F38" s="1">
        <f>F17-$F$20</f>
        <v>12657</v>
      </c>
      <c r="G38" s="2">
        <f>G17-$G$20</f>
        <v>7.5</v>
      </c>
      <c r="I38" s="25">
        <v>9</v>
      </c>
      <c r="J38" s="25">
        <v>66004.6952274004</v>
      </c>
      <c r="K38" s="25">
        <v>14.304772599600255</v>
      </c>
      <c r="L38" s="25">
        <v>6.057777677275844E-2</v>
      </c>
      <c r="N38" s="25">
        <v>53.125</v>
      </c>
      <c r="O38" s="25">
        <v>66019</v>
      </c>
    </row>
    <row r="39" spans="1:15">
      <c r="A39" s="1"/>
      <c r="I39" s="25">
        <v>10</v>
      </c>
      <c r="J39" s="25">
        <v>67401.605905448087</v>
      </c>
      <c r="K39" s="25">
        <v>455.39409455191344</v>
      </c>
      <c r="L39" s="25">
        <v>1.9285005484232003</v>
      </c>
      <c r="N39" s="25">
        <v>59.375</v>
      </c>
      <c r="O39" s="25">
        <v>66513</v>
      </c>
    </row>
    <row r="40" spans="1:15">
      <c r="I40" s="25">
        <v>11</v>
      </c>
      <c r="J40" s="25">
        <v>68186.26892711455</v>
      </c>
      <c r="K40" s="25">
        <v>-17.268927114550024</v>
      </c>
      <c r="L40" s="25">
        <v>-7.313036293072428E-2</v>
      </c>
      <c r="N40" s="25">
        <v>65.625</v>
      </c>
      <c r="O40" s="25">
        <v>67857</v>
      </c>
    </row>
    <row r="41" spans="1:15">
      <c r="I41" s="25">
        <v>12</v>
      </c>
      <c r="J41" s="25">
        <v>66552.055042522959</v>
      </c>
      <c r="K41" s="25">
        <v>-39.055042522959411</v>
      </c>
      <c r="L41" s="25">
        <v>-0.16539009140715299</v>
      </c>
      <c r="N41" s="25">
        <v>71.875</v>
      </c>
      <c r="O41" s="25">
        <v>68169</v>
      </c>
    </row>
    <row r="42" spans="1:15">
      <c r="H42" s="1">
        <f>-A20</f>
        <v>-65317</v>
      </c>
      <c r="I42" s="25">
        <v>13</v>
      </c>
      <c r="J42" s="25">
        <v>68810.549973595422</v>
      </c>
      <c r="K42" s="25">
        <v>-155.54997359542176</v>
      </c>
      <c r="L42" s="25">
        <v>-0.65872222098345345</v>
      </c>
      <c r="N42" s="25">
        <v>78.125</v>
      </c>
      <c r="O42" s="25">
        <v>68655</v>
      </c>
    </row>
    <row r="43" spans="1:15">
      <c r="H43">
        <f>B20*K43</f>
        <v>-8711.1656907998786</v>
      </c>
      <c r="I43" s="25">
        <v>14</v>
      </c>
      <c r="J43" s="25">
        <v>69649.67130804155</v>
      </c>
      <c r="K43" s="25">
        <v>-85.671308041550219</v>
      </c>
      <c r="L43" s="25">
        <v>-0.36280041071860741</v>
      </c>
      <c r="N43" s="25">
        <v>84.375</v>
      </c>
      <c r="O43" s="25">
        <v>69331</v>
      </c>
    </row>
    <row r="44" spans="1:15">
      <c r="H44">
        <f>C20*K44</f>
        <v>132566313.69484599</v>
      </c>
      <c r="I44" s="25">
        <v>15</v>
      </c>
      <c r="J44" s="25">
        <v>68989.068486038595</v>
      </c>
      <c r="K44" s="25">
        <v>341.93151396140456</v>
      </c>
      <c r="L44" s="25">
        <v>1.4480098009320423</v>
      </c>
      <c r="N44" s="25">
        <v>90.625</v>
      </c>
      <c r="O44" s="25">
        <v>69564</v>
      </c>
    </row>
    <row r="45" spans="1:15" ht="13.5" thickBot="1">
      <c r="H45">
        <f>D20*K45</f>
        <v>-660242.34766309406</v>
      </c>
      <c r="I45" s="26">
        <v>16</v>
      </c>
      <c r="J45" s="26">
        <v>70757.757825193461</v>
      </c>
      <c r="K45" s="26">
        <v>-206.75782519346103</v>
      </c>
      <c r="L45" s="26">
        <v>-0.87557696519695116</v>
      </c>
      <c r="N45" s="26">
        <v>96.875</v>
      </c>
      <c r="O45" s="26">
        <v>70551</v>
      </c>
    </row>
    <row r="46" spans="1:15">
      <c r="H46">
        <f>E20*K46</f>
        <v>0</v>
      </c>
    </row>
    <row r="47" spans="1:15">
      <c r="H47">
        <f>F20*K47</f>
        <v>0</v>
      </c>
    </row>
    <row r="48" spans="1:15">
      <c r="H48">
        <f>G20*K48</f>
        <v>0</v>
      </c>
    </row>
    <row r="49" spans="8:8">
      <c r="H49" s="1">
        <f>-SUM(H42:H48)</f>
        <v>-131832043.18149211</v>
      </c>
    </row>
    <row r="69" spans="1:7">
      <c r="B69" s="32" t="s">
        <v>37</v>
      </c>
      <c r="C69" s="33"/>
      <c r="D69" s="33"/>
      <c r="E69" s="33"/>
      <c r="F69" s="33"/>
      <c r="G69" s="34"/>
    </row>
    <row r="71" spans="1:7">
      <c r="A71">
        <v>1</v>
      </c>
      <c r="B71" s="1">
        <v>-18.681249999999999</v>
      </c>
      <c r="C71" s="1">
        <v>-153409.4375</v>
      </c>
      <c r="D71" s="1">
        <v>-837.3125</v>
      </c>
      <c r="E71" s="1">
        <v>-1016.6875</v>
      </c>
      <c r="F71" s="1">
        <v>-9816</v>
      </c>
      <c r="G71" s="2">
        <v>-7.5</v>
      </c>
    </row>
    <row r="72" spans="1:7">
      <c r="A72">
        <v>1</v>
      </c>
      <c r="B72" s="1">
        <v>-13.18125</v>
      </c>
      <c r="C72" s="1">
        <v>-128272.4375</v>
      </c>
      <c r="D72" s="1">
        <v>-868.3125</v>
      </c>
      <c r="E72" s="1">
        <v>-1150.6875</v>
      </c>
      <c r="F72" s="1">
        <v>-8792</v>
      </c>
      <c r="G72" s="2">
        <v>-6.5</v>
      </c>
    </row>
    <row r="73" spans="1:7">
      <c r="A73">
        <v>1</v>
      </c>
      <c r="B73" s="1">
        <v>-13.481249999999999</v>
      </c>
      <c r="C73" s="1">
        <v>-129644.4375</v>
      </c>
      <c r="D73" s="1">
        <v>488.6875</v>
      </c>
      <c r="E73" s="1">
        <v>-990.6875</v>
      </c>
      <c r="F73" s="1">
        <v>-7651</v>
      </c>
      <c r="G73" s="2">
        <v>-5.5</v>
      </c>
    </row>
    <row r="74" spans="1:7">
      <c r="A74">
        <v>1</v>
      </c>
      <c r="B74" s="1">
        <v>-12.18125</v>
      </c>
      <c r="C74" s="1">
        <v>-103099.4375</v>
      </c>
      <c r="D74" s="1">
        <v>157.6875</v>
      </c>
      <c r="E74" s="1">
        <v>-956.6875</v>
      </c>
      <c r="F74" s="1">
        <v>-6495</v>
      </c>
      <c r="G74" s="2">
        <v>-4.5</v>
      </c>
    </row>
    <row r="75" spans="1:7">
      <c r="A75">
        <v>1</v>
      </c>
      <c r="B75" s="1">
        <v>-5.4812500000000002</v>
      </c>
      <c r="C75" s="1">
        <v>-58723.4375</v>
      </c>
      <c r="D75" s="1">
        <v>-1094.3125</v>
      </c>
      <c r="E75" s="1">
        <v>492.3125</v>
      </c>
      <c r="F75" s="1">
        <v>-5349</v>
      </c>
      <c r="G75" s="2">
        <v>-3.5</v>
      </c>
    </row>
    <row r="76" spans="1:7">
      <c r="A76">
        <v>1</v>
      </c>
      <c r="B76" s="1">
        <v>-3.5812500000000114</v>
      </c>
      <c r="C76" s="1">
        <v>-40699.4375</v>
      </c>
      <c r="D76" s="1">
        <v>-1261.3125</v>
      </c>
      <c r="E76" s="1">
        <v>987.3125</v>
      </c>
      <c r="F76" s="1">
        <v>-4154</v>
      </c>
      <c r="G76" s="2">
        <v>-2.5</v>
      </c>
    </row>
    <row r="77" spans="1:7">
      <c r="A77">
        <v>1</v>
      </c>
      <c r="B77" s="1">
        <v>-2.6812500000000057</v>
      </c>
      <c r="C77" s="1">
        <v>-22313.4375</v>
      </c>
      <c r="D77" s="1">
        <v>-1323.3125</v>
      </c>
      <c r="E77" s="1">
        <v>940.3125</v>
      </c>
      <c r="F77" s="1">
        <v>-2330</v>
      </c>
      <c r="G77" s="2">
        <v>-1.5</v>
      </c>
    </row>
    <row r="78" spans="1:7">
      <c r="A78">
        <v>1</v>
      </c>
      <c r="B78" s="1">
        <v>-1.6812500000000057</v>
      </c>
      <c r="C78" s="1">
        <v>-24586.4375</v>
      </c>
      <c r="D78" s="1">
        <v>384.6875</v>
      </c>
      <c r="E78" s="1">
        <v>743.3125</v>
      </c>
      <c r="F78" s="1">
        <v>-1205</v>
      </c>
      <c r="G78" s="2">
        <v>-0.5</v>
      </c>
    </row>
    <row r="79" spans="1:7">
      <c r="A79">
        <v>1</v>
      </c>
      <c r="B79" s="1">
        <v>-0.48125000000000284</v>
      </c>
      <c r="C79" s="1">
        <v>9770.5625</v>
      </c>
      <c r="D79" s="1">
        <v>-289.3125</v>
      </c>
      <c r="E79" s="1">
        <v>441.3125</v>
      </c>
      <c r="F79" s="1">
        <v>-36</v>
      </c>
      <c r="G79" s="2">
        <v>0.5</v>
      </c>
    </row>
    <row r="80" spans="1:7">
      <c r="A80">
        <v>1</v>
      </c>
      <c r="B80" s="1">
        <v>2.9187499999999886</v>
      </c>
      <c r="C80" s="1">
        <v>31481.5625</v>
      </c>
      <c r="D80" s="1">
        <v>-371.3125</v>
      </c>
      <c r="E80" s="1">
        <v>250.3125</v>
      </c>
      <c r="F80" s="1">
        <v>1310</v>
      </c>
      <c r="G80" s="2">
        <v>1.5</v>
      </c>
    </row>
    <row r="81" spans="1:7">
      <c r="A81">
        <v>1</v>
      </c>
      <c r="B81" s="1">
        <v>6.71875</v>
      </c>
      <c r="C81" s="1">
        <v>55070.5625</v>
      </c>
      <c r="D81" s="1">
        <v>-257.3125</v>
      </c>
      <c r="E81" s="1">
        <v>191.3125</v>
      </c>
      <c r="F81" s="1">
        <v>3021</v>
      </c>
      <c r="G81" s="2">
        <v>2.5</v>
      </c>
    </row>
    <row r="82" spans="1:7">
      <c r="A82">
        <v>1</v>
      </c>
      <c r="B82" s="1">
        <v>9.1187499999999915</v>
      </c>
      <c r="C82" s="1">
        <v>56847.5625</v>
      </c>
      <c r="D82" s="1">
        <v>1487.6875</v>
      </c>
      <c r="E82" s="1">
        <v>30.3125</v>
      </c>
      <c r="F82" s="1">
        <v>4526</v>
      </c>
      <c r="G82" s="2">
        <v>3.5</v>
      </c>
    </row>
    <row r="83" spans="1:7">
      <c r="A83">
        <v>1</v>
      </c>
      <c r="B83" s="1">
        <v>10.918749999999999</v>
      </c>
      <c r="C83" s="1">
        <v>95005.5625</v>
      </c>
      <c r="D83" s="1">
        <v>619.6875</v>
      </c>
      <c r="E83" s="1">
        <v>-54.6875</v>
      </c>
      <c r="F83" s="1">
        <v>5942</v>
      </c>
      <c r="G83" s="2">
        <v>4.5</v>
      </c>
    </row>
    <row r="84" spans="1:7">
      <c r="A84">
        <v>1</v>
      </c>
      <c r="B84" s="1">
        <v>12.518750000000001</v>
      </c>
      <c r="C84" s="1">
        <v>114902.5625</v>
      </c>
      <c r="D84" s="1">
        <v>737.6875</v>
      </c>
      <c r="E84" s="1">
        <v>-92.6875</v>
      </c>
      <c r="F84" s="1">
        <v>7944</v>
      </c>
      <c r="G84" s="2">
        <v>5.5</v>
      </c>
    </row>
    <row r="85" spans="1:7">
      <c r="A85">
        <v>1</v>
      </c>
      <c r="B85" s="1">
        <v>14.018750000000001</v>
      </c>
      <c r="C85" s="1">
        <v>130474.5625</v>
      </c>
      <c r="D85" s="1">
        <v>1612.6875</v>
      </c>
      <c r="E85" s="1">
        <v>-34.6875</v>
      </c>
      <c r="F85" s="1">
        <v>10428</v>
      </c>
      <c r="G85" s="2">
        <v>6.5</v>
      </c>
    </row>
    <row r="86" spans="1:7">
      <c r="A86">
        <v>1</v>
      </c>
      <c r="B86" s="1">
        <v>15.21875</v>
      </c>
      <c r="C86" s="1">
        <v>167195.5625</v>
      </c>
      <c r="D86" s="1">
        <v>813.6875</v>
      </c>
      <c r="E86" s="1">
        <v>220.3125</v>
      </c>
      <c r="F86" s="1">
        <v>12657</v>
      </c>
      <c r="G86" s="2">
        <v>7.5</v>
      </c>
    </row>
    <row r="89" spans="1:7">
      <c r="A89">
        <f t="array" ref="A89:G95">MMULT(A71:G86,(TRANSPOSE(A71:G86)))</f>
        <v>23632544522.00082</v>
      </c>
      <c r="B89">
        <v>19766401990.128944</v>
      </c>
      <c r="C89">
        <v>19964380777.420822</v>
      </c>
      <c r="D89">
        <v>15881022514.260195</v>
      </c>
      <c r="E89">
        <v>9061651182.1583195</v>
      </c>
      <c r="F89">
        <v>6284505888.5389452</v>
      </c>
      <c r="G89">
        <v>3446115260.0383205</v>
      </c>
    </row>
    <row r="90" spans="1:7">
      <c r="A90">
        <v>19766401990.128944</v>
      </c>
      <c r="B90">
        <v>16533195751.507071</v>
      </c>
      <c r="C90">
        <v>16697791451.148945</v>
      </c>
      <c r="D90">
        <v>13282884310.138321</v>
      </c>
      <c r="E90">
        <v>7580010677.886445</v>
      </c>
      <c r="F90">
        <v>5257097210.7170706</v>
      </c>
      <c r="G90">
        <v>2882751466.1664453</v>
      </c>
    </row>
    <row r="91" spans="1:7">
      <c r="A91">
        <v>19964380777.420822</v>
      </c>
      <c r="B91">
        <v>16697791451.148945</v>
      </c>
      <c r="C91">
        <v>16867438465.880821</v>
      </c>
      <c r="D91">
        <v>13416986854.480196</v>
      </c>
      <c r="E91">
        <v>7653069811.2183199</v>
      </c>
      <c r="F91">
        <v>5306643492.4789457</v>
      </c>
      <c r="G91">
        <v>2909061686.6583204</v>
      </c>
    </row>
    <row r="92" spans="1:7">
      <c r="A92">
        <v>15881022514.260195</v>
      </c>
      <c r="B92">
        <v>13282884310.138321</v>
      </c>
      <c r="C92">
        <v>13416986854.480196</v>
      </c>
      <c r="D92">
        <v>10672619323.769569</v>
      </c>
      <c r="E92">
        <v>6088451664.2176952</v>
      </c>
      <c r="F92">
        <v>4221925955.9483204</v>
      </c>
      <c r="G92">
        <v>2314527990.2976952</v>
      </c>
    </row>
    <row r="93" spans="1:7">
      <c r="A93">
        <v>9061651182.1583195</v>
      </c>
      <c r="B93">
        <v>7580010677.886445</v>
      </c>
      <c r="C93">
        <v>7653069811.2183199</v>
      </c>
      <c r="D93">
        <v>6088451664.2176952</v>
      </c>
      <c r="E93">
        <v>3478493847.5558205</v>
      </c>
      <c r="F93">
        <v>2414096986.0164452</v>
      </c>
      <c r="G93">
        <v>1324695988.3958204</v>
      </c>
    </row>
    <row r="94" spans="1:7">
      <c r="A94">
        <v>6284505888.5389452</v>
      </c>
      <c r="B94">
        <v>5257097210.7170706</v>
      </c>
      <c r="C94">
        <v>5306643492.4789457</v>
      </c>
      <c r="D94">
        <v>4221925955.9483204</v>
      </c>
      <c r="E94">
        <v>2414096986.0164452</v>
      </c>
      <c r="F94">
        <v>1676265644.0870702</v>
      </c>
      <c r="G94">
        <v>920420682.17644536</v>
      </c>
    </row>
    <row r="95" spans="1:7">
      <c r="A95">
        <v>3446115260.0383205</v>
      </c>
      <c r="B95">
        <v>2882751466.1664453</v>
      </c>
      <c r="C95">
        <v>2909061686.6583204</v>
      </c>
      <c r="D95">
        <v>2314527990.2976952</v>
      </c>
      <c r="E95">
        <v>1324695988.3958204</v>
      </c>
      <c r="F95">
        <v>920420682.17644536</v>
      </c>
      <c r="G95">
        <v>505953747.07582033</v>
      </c>
    </row>
    <row r="98" spans="1:7">
      <c r="A98">
        <f t="array" ref="A98:G104">MMULT((MINVERSE(A89:G95)),A89:G95)</f>
        <v>1.0110621452331543</v>
      </c>
      <c r="B98">
        <v>9.2520713806152344E-3</v>
      </c>
      <c r="C98">
        <v>9.3407630920410156E-3</v>
      </c>
      <c r="D98">
        <v>7.4324607849121094E-3</v>
      </c>
      <c r="E98">
        <v>4.2448043823242188E-3</v>
      </c>
      <c r="F98">
        <v>2.9470920562744141E-3</v>
      </c>
      <c r="G98">
        <v>1.6170144081115723E-3</v>
      </c>
    </row>
    <row r="99" spans="1:7">
      <c r="A99">
        <v>-1.6103744506835938E-2</v>
      </c>
      <c r="B99">
        <v>0.98651695251464844</v>
      </c>
      <c r="C99">
        <v>-1.3613700866699219E-2</v>
      </c>
      <c r="D99">
        <v>-1.0831832885742188E-2</v>
      </c>
      <c r="E99">
        <v>-6.18743896484375E-3</v>
      </c>
      <c r="F99">
        <v>-4.2982101440429688E-3</v>
      </c>
      <c r="G99">
        <v>-2.3591518402099609E-3</v>
      </c>
    </row>
    <row r="100" spans="1:7">
      <c r="A100">
        <v>-1.8999099731445313E-2</v>
      </c>
      <c r="B100">
        <v>-1.5911102294921875E-2</v>
      </c>
      <c r="C100">
        <v>0.98394012451171875</v>
      </c>
      <c r="D100">
        <v>-1.2774467468261719E-2</v>
      </c>
      <c r="E100">
        <v>-7.3027610778808594E-3</v>
      </c>
      <c r="F100">
        <v>-5.0587654113769531E-3</v>
      </c>
      <c r="G100">
        <v>-2.7768611907958984E-3</v>
      </c>
    </row>
    <row r="101" spans="1:7">
      <c r="A101">
        <v>2.7510643005371094E-2</v>
      </c>
      <c r="B101">
        <v>2.3014068603515625E-2</v>
      </c>
      <c r="C101">
        <v>2.3227691650390625E-2</v>
      </c>
      <c r="D101">
        <v>1.0184764862060547</v>
      </c>
      <c r="E101">
        <v>1.0556697845458984E-2</v>
      </c>
      <c r="F101">
        <v>7.3175430297851563E-3</v>
      </c>
      <c r="G101">
        <v>4.0180683135986328E-3</v>
      </c>
    </row>
    <row r="102" spans="1:7">
      <c r="A102">
        <v>-3.814697265625E-5</v>
      </c>
      <c r="B102">
        <v>-6.103515625E-5</v>
      </c>
      <c r="C102">
        <v>-4.57763671875E-5</v>
      </c>
      <c r="D102">
        <v>-3.814697265625E-5</v>
      </c>
      <c r="E102">
        <v>0.99995040893554688</v>
      </c>
      <c r="F102">
        <v>-7.62939453125E-6</v>
      </c>
      <c r="G102">
        <v>0</v>
      </c>
    </row>
    <row r="103" spans="1:7">
      <c r="A103">
        <v>9.1552734375E-5</v>
      </c>
      <c r="B103">
        <v>8.392333984375E-5</v>
      </c>
      <c r="C103">
        <v>8.392333984375E-5</v>
      </c>
      <c r="D103">
        <v>8.392333984375E-5</v>
      </c>
      <c r="E103">
        <v>7.2479248046875E-5</v>
      </c>
      <c r="F103">
        <v>1.0000190734863281</v>
      </c>
      <c r="G103">
        <v>7.62939453125E-6</v>
      </c>
    </row>
    <row r="104" spans="1:7">
      <c r="A104">
        <v>-2.288818359375E-5</v>
      </c>
      <c r="B104">
        <v>-4.9591064453125E-5</v>
      </c>
      <c r="C104">
        <v>-1.1444091796875E-5</v>
      </c>
      <c r="D104">
        <v>-1.9073486328125E-5</v>
      </c>
      <c r="E104">
        <v>-9.5367431640625E-6</v>
      </c>
      <c r="F104">
        <v>1.9073486328125E-6</v>
      </c>
      <c r="G104">
        <v>0.99999713897705078</v>
      </c>
    </row>
    <row r="107" spans="1:7">
      <c r="A107">
        <f t="array" ref="A107">MDETERM(A98:G104)</f>
        <v>0.99996170099641601</v>
      </c>
    </row>
    <row r="108" spans="1:7">
      <c r="A108">
        <f>1-A107</f>
        <v>3.8299003583985858E-5</v>
      </c>
      <c r="B108">
        <f>A108/49</f>
        <v>7.8161231804052773E-7</v>
      </c>
    </row>
    <row r="109" spans="1:7">
      <c r="A109">
        <f>-LOG10(A108)</f>
        <v>4.4168125248200401</v>
      </c>
      <c r="B109">
        <f>-LOG10(B108)</f>
        <v>6.1070086048485539</v>
      </c>
    </row>
  </sheetData>
  <mergeCells count="1">
    <mergeCell ref="B69:G69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Sheet6</vt:lpstr>
      <vt:lpstr>Sheet7</vt:lpstr>
      <vt:lpstr>Sheet2</vt:lpstr>
      <vt:lpstr>Sheet8</vt:lpstr>
      <vt:lpstr>Sheet3</vt:lpstr>
      <vt:lpstr>Sheet5</vt:lpstr>
      <vt:lpstr>Sheet4</vt:lpstr>
      <vt:lpstr>Sheet9</vt:lpstr>
      <vt:lpstr>Longley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</cp:lastModifiedBy>
  <cp:lastPrinted>2003-09-01T02:11:18Z</cp:lastPrinted>
  <dcterms:created xsi:type="dcterms:W3CDTF">2003-08-25T01:58:47Z</dcterms:created>
  <dcterms:modified xsi:type="dcterms:W3CDTF">2007-09-03T03:57:56Z</dcterms:modified>
</cp:coreProperties>
</file>